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mana\99.  Personal\33.  Data Science Collections\14.  Courses\08.  Eighth Semester - Summer 2023\02.  Assignments\09.  Assignment 9\Submission\"/>
    </mc:Choice>
  </mc:AlternateContent>
  <xr:revisionPtr revIDLastSave="0" documentId="13_ncr:1_{DB4B3342-6BCC-45E7-8C72-2A61893AB94A}" xr6:coauthVersionLast="47" xr6:coauthVersionMax="47" xr10:uidLastSave="{00000000-0000-0000-0000-000000000000}"/>
  <bookViews>
    <workbookView xWindow="-110" yWindow="-110" windowWidth="19420" windowHeight="10420" firstSheet="4" activeTab="4" xr2:uid="{04951FA8-2931-4030-9F84-C743443B50DF}"/>
  </bookViews>
  <sheets>
    <sheet name="Employee Master Table" sheetId="1" r:id="rId1"/>
    <sheet name="Vendor Master Table" sheetId="2" r:id="rId2"/>
    <sheet name="Material Master Table" sheetId="3" r:id="rId3"/>
    <sheet name="Vendor Invoice Header" sheetId="4" r:id="rId4"/>
    <sheet name="Vendor Invoice Item" sheetId="5" r:id="rId5"/>
    <sheet name="Purchase Orders" sheetId="6" r:id="rId6"/>
    <sheet name="Purchase Order Items" sheetId="7" r:id="rId7"/>
    <sheet name="Goods Receipts" sheetId="8" r:id="rId8"/>
    <sheet name="GR Item" sheetId="9" r:id="rId9"/>
    <sheet name="Sheet1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7" l="1"/>
  <c r="H17" i="7"/>
  <c r="H16" i="7"/>
  <c r="H15" i="7"/>
  <c r="H14" i="7"/>
  <c r="H13" i="7"/>
  <c r="I13" i="7" s="1"/>
  <c r="J13" i="7" s="1"/>
  <c r="H12" i="7"/>
  <c r="H11" i="7"/>
  <c r="H10" i="7"/>
  <c r="I10" i="7" s="1"/>
  <c r="J10" i="7" s="1"/>
  <c r="H9" i="7"/>
  <c r="I8" i="7"/>
  <c r="J8" i="7" s="1"/>
  <c r="H18" i="5"/>
  <c r="H17" i="5"/>
  <c r="H16" i="5"/>
  <c r="I16" i="5" s="1"/>
  <c r="J16" i="5" s="1"/>
  <c r="H15" i="5"/>
  <c r="H14" i="5"/>
  <c r="I13" i="5"/>
  <c r="J13" i="5" s="1"/>
  <c r="H13" i="5"/>
  <c r="H12" i="5"/>
  <c r="H11" i="5"/>
  <c r="I11" i="5" s="1"/>
  <c r="H10" i="5"/>
  <c r="I10" i="5" s="1"/>
  <c r="J10" i="5" s="1"/>
  <c r="H9" i="5"/>
  <c r="I8" i="5"/>
  <c r="J8" i="5" s="1"/>
  <c r="I15" i="7" l="1"/>
  <c r="J15" i="7" s="1"/>
  <c r="I9" i="7"/>
  <c r="J9" i="7" s="1"/>
  <c r="I17" i="7"/>
  <c r="J17" i="7" s="1"/>
  <c r="I18" i="7"/>
  <c r="J18" i="7" s="1"/>
  <c r="I16" i="7"/>
  <c r="J16" i="7" s="1"/>
  <c r="I11" i="7"/>
  <c r="J11" i="7" s="1"/>
  <c r="I14" i="7"/>
  <c r="J14" i="7" s="1"/>
  <c r="I12" i="7"/>
  <c r="J12" i="7" s="1"/>
  <c r="I17" i="5"/>
  <c r="J17" i="5" s="1"/>
  <c r="I14" i="5"/>
  <c r="J14" i="5" s="1"/>
  <c r="I15" i="5"/>
  <c r="J15" i="5" s="1"/>
  <c r="I18" i="5"/>
  <c r="J18" i="5" s="1"/>
  <c r="I12" i="5"/>
  <c r="J12" i="5" s="1"/>
  <c r="J11" i="5"/>
  <c r="I9" i="5"/>
  <c r="J9" i="5" s="1"/>
</calcChain>
</file>

<file path=xl/sharedStrings.xml><?xml version="1.0" encoding="utf-8"?>
<sst xmlns="http://schemas.openxmlformats.org/spreadsheetml/2006/main" count="409" uniqueCount="127">
  <si>
    <t>First Name</t>
  </si>
  <si>
    <t>Last Name</t>
  </si>
  <si>
    <t>Department Name</t>
  </si>
  <si>
    <t>Reporting Manager</t>
  </si>
  <si>
    <t>Eric</t>
  </si>
  <si>
    <t>Crocket</t>
  </si>
  <si>
    <t>Accounts Payable</t>
  </si>
  <si>
    <t>Tom</t>
  </si>
  <si>
    <t>Moffa</t>
  </si>
  <si>
    <t>Jim</t>
  </si>
  <si>
    <t>Morgan</t>
  </si>
  <si>
    <t xml:space="preserve">Courtney </t>
  </si>
  <si>
    <t>Payton</t>
  </si>
  <si>
    <t>Yashada</t>
  </si>
  <si>
    <t>Nikam</t>
  </si>
  <si>
    <t>Ramana</t>
  </si>
  <si>
    <t>Chowdam</t>
  </si>
  <si>
    <t>Designation</t>
  </si>
  <si>
    <t>Account Manager</t>
  </si>
  <si>
    <t>A/P Processor</t>
  </si>
  <si>
    <t>Address1</t>
  </si>
  <si>
    <t>City</t>
  </si>
  <si>
    <t>State</t>
  </si>
  <si>
    <t>Country</t>
  </si>
  <si>
    <t>Auto Parts</t>
  </si>
  <si>
    <t>Limited</t>
  </si>
  <si>
    <t>11966 Luxor Chase</t>
  </si>
  <si>
    <t>Fishers</t>
  </si>
  <si>
    <t>IN</t>
  </si>
  <si>
    <t>US</t>
  </si>
  <si>
    <t>Simple Machineries</t>
  </si>
  <si>
    <t>1456 Trnaquility Ct</t>
  </si>
  <si>
    <t>Indianapolis</t>
  </si>
  <si>
    <t>Bearing</t>
  </si>
  <si>
    <t>Inc</t>
  </si>
  <si>
    <t>32678 Washing St</t>
  </si>
  <si>
    <t>Security device</t>
  </si>
  <si>
    <t>LLC</t>
  </si>
  <si>
    <t>42958 New Indian St</t>
  </si>
  <si>
    <t>Louisville</t>
  </si>
  <si>
    <t>KY</t>
  </si>
  <si>
    <t>Black and Decker</t>
  </si>
  <si>
    <t>1356 Ridge Road</t>
  </si>
  <si>
    <t xml:space="preserve">Towson </t>
  </si>
  <si>
    <t>MD</t>
  </si>
  <si>
    <t>Dyson Boiler</t>
  </si>
  <si>
    <t>5678 Lincoln Ave</t>
  </si>
  <si>
    <t>Baltimore</t>
  </si>
  <si>
    <t>Stanley systems</t>
  </si>
  <si>
    <t>3448 Folkridge Dr</t>
  </si>
  <si>
    <t xml:space="preserve">Staples </t>
  </si>
  <si>
    <t>1345 96th Street</t>
  </si>
  <si>
    <t>Billi John</t>
  </si>
  <si>
    <t>6745 82nd Street</t>
  </si>
  <si>
    <t xml:space="preserve">AMD </t>
  </si>
  <si>
    <t>4687 Main street</t>
  </si>
  <si>
    <t>Frenchlick</t>
  </si>
  <si>
    <t>Material Number</t>
  </si>
  <si>
    <t>Material Name</t>
  </si>
  <si>
    <t>Bearings</t>
  </si>
  <si>
    <t>M100-Machine1</t>
  </si>
  <si>
    <t>M101-Machine1</t>
  </si>
  <si>
    <t>M102-Machine1</t>
  </si>
  <si>
    <t>M103-Machine1</t>
  </si>
  <si>
    <t>Auto Part1</t>
  </si>
  <si>
    <t>Auto Part2</t>
  </si>
  <si>
    <t>Auto Part3</t>
  </si>
  <si>
    <t>Auto Part4</t>
  </si>
  <si>
    <t>Auto Part5</t>
  </si>
  <si>
    <t>Security Software</t>
  </si>
  <si>
    <t>Security remote</t>
  </si>
  <si>
    <t>Security camera</t>
  </si>
  <si>
    <t>Construction tool kit</t>
  </si>
  <si>
    <t>Dewalt toolkit</t>
  </si>
  <si>
    <t>CDIY Grass tools</t>
  </si>
  <si>
    <t>Construction equip.</t>
  </si>
  <si>
    <t>Invoice#</t>
  </si>
  <si>
    <t>Vendor#</t>
  </si>
  <si>
    <t>Company Code</t>
  </si>
  <si>
    <t>Item#</t>
  </si>
  <si>
    <t>Material#</t>
  </si>
  <si>
    <t>Quantity</t>
  </si>
  <si>
    <t>UOM</t>
  </si>
  <si>
    <t>Unit Price</t>
  </si>
  <si>
    <t>Net Price</t>
  </si>
  <si>
    <t>Tax</t>
  </si>
  <si>
    <t>Total Price</t>
  </si>
  <si>
    <t>000001</t>
  </si>
  <si>
    <t>Material Description</t>
  </si>
  <si>
    <t>pk</t>
  </si>
  <si>
    <t>000002</t>
  </si>
  <si>
    <t>000003</t>
  </si>
  <si>
    <t>000004</t>
  </si>
  <si>
    <t>EA</t>
  </si>
  <si>
    <t>Employee Master Table</t>
  </si>
  <si>
    <t>Vendor Master Table</t>
  </si>
  <si>
    <t>Material Master Table</t>
  </si>
  <si>
    <t>Vendor Invoice Header Table</t>
  </si>
  <si>
    <t>Creation Date</t>
  </si>
  <si>
    <t>Tax Amount</t>
  </si>
  <si>
    <t>Invoice Total Amount</t>
  </si>
  <si>
    <t>Currency</t>
  </si>
  <si>
    <t>USD</t>
  </si>
  <si>
    <t>EmployeeID</t>
  </si>
  <si>
    <t>ApprovalLimit_Max</t>
  </si>
  <si>
    <t>ApprovalLimit_Min</t>
  </si>
  <si>
    <t>VendorID</t>
  </si>
  <si>
    <t>ApproverID</t>
  </si>
  <si>
    <t>5oice#</t>
  </si>
  <si>
    <t>Invoice Item Table</t>
  </si>
  <si>
    <t>PO Number</t>
  </si>
  <si>
    <t>Item Number</t>
  </si>
  <si>
    <t>Goods Receipt#</t>
  </si>
  <si>
    <t>Purchase Order Items</t>
  </si>
  <si>
    <t>Purchase Order#</t>
  </si>
  <si>
    <t>Initial Screen</t>
  </si>
  <si>
    <t>Registration</t>
  </si>
  <si>
    <t>Vendor</t>
  </si>
  <si>
    <t>Employee</t>
  </si>
  <si>
    <t>Vendor Number</t>
  </si>
  <si>
    <t>Invoice Submission</t>
  </si>
  <si>
    <t>Anlytics</t>
  </si>
  <si>
    <t>Vendor Invoices</t>
  </si>
  <si>
    <t xml:space="preserve">Total </t>
  </si>
  <si>
    <t xml:space="preserve">Invoices </t>
  </si>
  <si>
    <t xml:space="preserve">Company code </t>
  </si>
  <si>
    <t>JBS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</si>
</sst>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1" fillId="2" borderId="1" xfId="0" applyFont="1" applyFill="1" applyBorder="1"/>
    <xf numFmtId="0" fontId="2" fillId="0" borderId="1" xfId="0" quotePrefix="1" applyFont="1" applyBorder="1"/>
    <xf numFmtId="0" fontId="4" fillId="3" borderId="1" xfId="0" applyFont="1" applyFill="1" applyBorder="1"/>
    <xf numFmtId="0" fontId="1" fillId="3" borderId="0" xfId="0" applyFont="1" applyFill="1"/>
    <xf numFmtId="0" fontId="1" fillId="3" borderId="1" xfId="0" applyFont="1" applyFill="1" applyBorder="1"/>
    <xf numFmtId="14" fontId="2" fillId="0" borderId="1" xfId="0" quotePrefix="1" applyNumberFormat="1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AAA32-D486-4F63-BBF0-028446979FE7}">
  <dimension ref="A1:H18"/>
  <sheetViews>
    <sheetView workbookViewId="0">
      <selection activeCell="B7" sqref="B7"/>
    </sheetView>
  </sheetViews>
  <sheetFormatPr defaultRowHeight="14.5" x14ac:dyDescent="0.35"/>
  <cols>
    <col min="1" max="1" width="20.6328125" bestFit="1" customWidth="1"/>
    <col min="2" max="2" width="18.54296875" bestFit="1" customWidth="1"/>
    <col min="3" max="4" width="16.36328125" customWidth="1"/>
    <col min="5" max="5" width="16.54296875" bestFit="1" customWidth="1"/>
    <col min="6" max="6" width="17.08984375" bestFit="1" customWidth="1"/>
    <col min="7" max="7" width="26" customWidth="1"/>
    <col min="8" max="8" width="27" customWidth="1"/>
  </cols>
  <sheetData>
    <row r="1" spans="1:8" x14ac:dyDescent="0.35">
      <c r="A1" s="5" t="s">
        <v>94</v>
      </c>
    </row>
    <row r="2" spans="1:8" x14ac:dyDescent="0.35">
      <c r="A2" s="1" t="s">
        <v>103</v>
      </c>
      <c r="B2" s="1" t="s">
        <v>0</v>
      </c>
      <c r="C2" s="1" t="s">
        <v>1</v>
      </c>
      <c r="D2" s="1" t="s">
        <v>17</v>
      </c>
      <c r="E2" s="1" t="s">
        <v>2</v>
      </c>
      <c r="F2" s="1" t="s">
        <v>3</v>
      </c>
      <c r="G2" s="1" t="s">
        <v>105</v>
      </c>
      <c r="H2" s="1" t="s">
        <v>104</v>
      </c>
    </row>
    <row r="3" spans="1:8" x14ac:dyDescent="0.35">
      <c r="A3" s="2">
        <v>1000000001</v>
      </c>
      <c r="B3" s="2" t="s">
        <v>7</v>
      </c>
      <c r="C3" s="2" t="s">
        <v>8</v>
      </c>
      <c r="D3" s="2" t="s">
        <v>18</v>
      </c>
      <c r="E3" s="2" t="s">
        <v>6</v>
      </c>
      <c r="F3" s="2"/>
      <c r="G3" s="2">
        <v>250000</v>
      </c>
      <c r="H3" s="2">
        <v>500000</v>
      </c>
    </row>
    <row r="4" spans="1:8" x14ac:dyDescent="0.35">
      <c r="A4" s="2">
        <v>1000000002</v>
      </c>
      <c r="B4" s="2" t="s">
        <v>4</v>
      </c>
      <c r="C4" s="2" t="s">
        <v>5</v>
      </c>
      <c r="D4" s="2" t="s">
        <v>19</v>
      </c>
      <c r="E4" s="2" t="s">
        <v>6</v>
      </c>
      <c r="F4" s="2">
        <v>1000000001</v>
      </c>
      <c r="G4" s="2">
        <v>200000</v>
      </c>
      <c r="H4" s="2">
        <v>249999</v>
      </c>
    </row>
    <row r="5" spans="1:8" x14ac:dyDescent="0.35">
      <c r="A5" s="2">
        <v>1000000003</v>
      </c>
      <c r="B5" s="2" t="s">
        <v>9</v>
      </c>
      <c r="C5" s="2" t="s">
        <v>10</v>
      </c>
      <c r="D5" s="2" t="s">
        <v>19</v>
      </c>
      <c r="E5" s="2" t="s">
        <v>6</v>
      </c>
      <c r="F5" s="2">
        <v>1000000001</v>
      </c>
      <c r="G5" s="2">
        <v>150000</v>
      </c>
      <c r="H5" s="2">
        <v>199999</v>
      </c>
    </row>
    <row r="6" spans="1:8" x14ac:dyDescent="0.35">
      <c r="A6" s="2">
        <v>1000000004</v>
      </c>
      <c r="B6" s="2" t="s">
        <v>11</v>
      </c>
      <c r="C6" s="2" t="s">
        <v>12</v>
      </c>
      <c r="D6" s="2" t="s">
        <v>19</v>
      </c>
      <c r="E6" s="2" t="s">
        <v>6</v>
      </c>
      <c r="F6" s="2">
        <v>1000000001</v>
      </c>
      <c r="G6" s="2">
        <v>100000</v>
      </c>
      <c r="H6" s="2">
        <v>149999</v>
      </c>
    </row>
    <row r="7" spans="1:8" x14ac:dyDescent="0.35">
      <c r="A7" s="2">
        <v>1000000005</v>
      </c>
      <c r="B7" s="2" t="s">
        <v>13</v>
      </c>
      <c r="C7" s="2" t="s">
        <v>14</v>
      </c>
      <c r="D7" s="2" t="s">
        <v>19</v>
      </c>
      <c r="E7" s="2" t="s">
        <v>6</v>
      </c>
      <c r="F7" s="2">
        <v>1000000001</v>
      </c>
      <c r="G7" s="2">
        <v>50000</v>
      </c>
      <c r="H7" s="2">
        <v>99999</v>
      </c>
    </row>
    <row r="8" spans="1:8" x14ac:dyDescent="0.35">
      <c r="A8" s="2">
        <v>1000000006</v>
      </c>
      <c r="B8" s="2" t="s">
        <v>15</v>
      </c>
      <c r="C8" s="2" t="s">
        <v>16</v>
      </c>
      <c r="D8" s="2" t="s">
        <v>19</v>
      </c>
      <c r="E8" s="2" t="s">
        <v>6</v>
      </c>
      <c r="F8" s="2">
        <v>1000000001</v>
      </c>
      <c r="G8" s="2">
        <v>1</v>
      </c>
      <c r="H8" s="2">
        <v>49999</v>
      </c>
    </row>
    <row r="9" spans="1:8" x14ac:dyDescent="0.35">
      <c r="A9" s="2"/>
      <c r="B9" s="2"/>
      <c r="C9" s="2"/>
      <c r="D9" s="2"/>
      <c r="E9" s="2"/>
      <c r="F9" s="2"/>
      <c r="G9" s="2"/>
      <c r="H9" s="2"/>
    </row>
    <row r="10" spans="1:8" x14ac:dyDescent="0.35">
      <c r="A10" s="2"/>
      <c r="B10" s="2"/>
      <c r="C10" s="2"/>
      <c r="D10" s="2"/>
      <c r="E10" s="2"/>
      <c r="F10" s="2"/>
      <c r="G10" s="2"/>
      <c r="H10" s="2"/>
    </row>
    <row r="11" spans="1:8" x14ac:dyDescent="0.35">
      <c r="A11" s="2"/>
      <c r="B11" s="2"/>
      <c r="C11" s="2"/>
      <c r="D11" s="2"/>
      <c r="E11" s="2"/>
      <c r="F11" s="2"/>
      <c r="G11" s="2"/>
      <c r="H11" s="2"/>
    </row>
    <row r="12" spans="1:8" x14ac:dyDescent="0.35">
      <c r="A12" s="2"/>
      <c r="B12" s="2"/>
      <c r="C12" s="2"/>
      <c r="D12" s="2"/>
      <c r="E12" s="2"/>
      <c r="F12" s="2"/>
      <c r="G12" s="2"/>
      <c r="H12" s="2"/>
    </row>
    <row r="13" spans="1:8" x14ac:dyDescent="0.35">
      <c r="A13" s="2"/>
      <c r="B13" s="2"/>
      <c r="C13" s="2"/>
      <c r="D13" s="2"/>
      <c r="E13" s="2"/>
      <c r="F13" s="2"/>
      <c r="G13" s="2"/>
      <c r="H13" s="2"/>
    </row>
    <row r="14" spans="1:8" x14ac:dyDescent="0.35">
      <c r="A14" s="2"/>
      <c r="B14" s="2"/>
      <c r="C14" s="2"/>
      <c r="D14" s="2"/>
      <c r="E14" s="2"/>
      <c r="F14" s="2"/>
      <c r="G14" s="2"/>
      <c r="H14" s="2"/>
    </row>
    <row r="15" spans="1:8" x14ac:dyDescent="0.35">
      <c r="A15" s="2"/>
      <c r="B15" s="2"/>
      <c r="C15" s="2"/>
      <c r="D15" s="2"/>
      <c r="E15" s="2"/>
      <c r="F15" s="2"/>
      <c r="G15" s="2"/>
      <c r="H15" s="2"/>
    </row>
    <row r="16" spans="1:8" x14ac:dyDescent="0.35">
      <c r="A16" s="2"/>
      <c r="B16" s="2"/>
      <c r="C16" s="2"/>
      <c r="D16" s="2"/>
      <c r="E16" s="2"/>
      <c r="F16" s="2"/>
      <c r="G16" s="2"/>
      <c r="H16" s="2"/>
    </row>
    <row r="17" spans="1:8" x14ac:dyDescent="0.35">
      <c r="A17" s="2"/>
      <c r="B17" s="2"/>
      <c r="C17" s="2"/>
      <c r="D17" s="2"/>
      <c r="E17" s="2"/>
      <c r="F17" s="2"/>
      <c r="G17" s="2"/>
      <c r="H17" s="2"/>
    </row>
    <row r="18" spans="1:8" x14ac:dyDescent="0.35">
      <c r="A18" s="2"/>
      <c r="B18" s="2"/>
      <c r="C18" s="2"/>
      <c r="D18" s="2"/>
      <c r="E18" s="2"/>
      <c r="F18" s="2"/>
      <c r="G18" s="2"/>
      <c r="H18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F3E2C-ACE8-4F47-9315-5430F5FF2C79}">
  <dimension ref="A1:G19"/>
  <sheetViews>
    <sheetView workbookViewId="0">
      <selection activeCell="A13" sqref="A13"/>
    </sheetView>
  </sheetViews>
  <sheetFormatPr defaultRowHeight="14.5" x14ac:dyDescent="0.35"/>
  <cols>
    <col min="1" max="1" width="18.453125" bestFit="1" customWidth="1"/>
    <col min="2" max="2" width="15.7265625" bestFit="1" customWidth="1"/>
    <col min="4" max="4" width="16.453125" bestFit="1" customWidth="1"/>
    <col min="5" max="5" width="10.1796875" bestFit="1" customWidth="1"/>
  </cols>
  <sheetData>
    <row r="1" spans="1:7" x14ac:dyDescent="0.35">
      <c r="A1" s="7" t="s">
        <v>95</v>
      </c>
    </row>
    <row r="2" spans="1:7" x14ac:dyDescent="0.35">
      <c r="A2" s="1" t="s">
        <v>106</v>
      </c>
      <c r="B2" s="1" t="s">
        <v>0</v>
      </c>
      <c r="C2" s="1" t="s">
        <v>1</v>
      </c>
      <c r="D2" s="1" t="s">
        <v>20</v>
      </c>
      <c r="E2" s="1" t="s">
        <v>21</v>
      </c>
      <c r="F2" s="1" t="s">
        <v>22</v>
      </c>
      <c r="G2" s="1" t="s">
        <v>23</v>
      </c>
    </row>
    <row r="3" spans="1:7" x14ac:dyDescent="0.35">
      <c r="A3" s="2">
        <v>2000000001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</row>
    <row r="4" spans="1:7" x14ac:dyDescent="0.35">
      <c r="A4" s="2">
        <v>2000000002</v>
      </c>
      <c r="B4" s="2" t="s">
        <v>30</v>
      </c>
      <c r="C4" s="2" t="s">
        <v>25</v>
      </c>
      <c r="D4" s="2" t="s">
        <v>31</v>
      </c>
      <c r="E4" s="2" t="s">
        <v>32</v>
      </c>
      <c r="F4" s="2" t="s">
        <v>28</v>
      </c>
      <c r="G4" s="2" t="s">
        <v>29</v>
      </c>
    </row>
    <row r="5" spans="1:7" x14ac:dyDescent="0.35">
      <c r="A5" s="2">
        <v>2000000003</v>
      </c>
      <c r="B5" s="2" t="s">
        <v>33</v>
      </c>
      <c r="C5" s="2" t="s">
        <v>34</v>
      </c>
      <c r="D5" s="2" t="s">
        <v>35</v>
      </c>
      <c r="E5" s="2" t="s">
        <v>32</v>
      </c>
      <c r="F5" s="2" t="s">
        <v>28</v>
      </c>
      <c r="G5" s="2" t="s">
        <v>29</v>
      </c>
    </row>
    <row r="6" spans="1:7" x14ac:dyDescent="0.35">
      <c r="A6" s="2">
        <v>2000000004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29</v>
      </c>
    </row>
    <row r="7" spans="1:7" x14ac:dyDescent="0.35">
      <c r="A7" s="2">
        <v>2000000005</v>
      </c>
      <c r="B7" s="2" t="s">
        <v>41</v>
      </c>
      <c r="C7" s="2" t="s">
        <v>34</v>
      </c>
      <c r="D7" s="2" t="s">
        <v>42</v>
      </c>
      <c r="E7" s="2" t="s">
        <v>43</v>
      </c>
      <c r="F7" s="2" t="s">
        <v>44</v>
      </c>
      <c r="G7" s="2" t="s">
        <v>29</v>
      </c>
    </row>
    <row r="8" spans="1:7" x14ac:dyDescent="0.35">
      <c r="A8" s="2">
        <v>2000000006</v>
      </c>
      <c r="B8" s="2" t="s">
        <v>45</v>
      </c>
      <c r="C8" s="2" t="s">
        <v>25</v>
      </c>
      <c r="D8" s="2" t="s">
        <v>46</v>
      </c>
      <c r="E8" s="2" t="s">
        <v>47</v>
      </c>
      <c r="F8" s="2" t="s">
        <v>44</v>
      </c>
      <c r="G8" s="2" t="s">
        <v>29</v>
      </c>
    </row>
    <row r="9" spans="1:7" x14ac:dyDescent="0.35">
      <c r="A9" s="2">
        <v>2000000007</v>
      </c>
      <c r="B9" s="2" t="s">
        <v>48</v>
      </c>
      <c r="C9" s="2" t="s">
        <v>34</v>
      </c>
      <c r="D9" s="2" t="s">
        <v>49</v>
      </c>
      <c r="E9" s="2" t="s">
        <v>32</v>
      </c>
      <c r="F9" s="2" t="s">
        <v>28</v>
      </c>
      <c r="G9" s="2" t="s">
        <v>29</v>
      </c>
    </row>
    <row r="10" spans="1:7" x14ac:dyDescent="0.35">
      <c r="A10" s="2">
        <v>2000000008</v>
      </c>
      <c r="B10" s="2" t="s">
        <v>50</v>
      </c>
      <c r="C10" s="2" t="s">
        <v>34</v>
      </c>
      <c r="D10" s="2" t="s">
        <v>51</v>
      </c>
      <c r="E10" s="2" t="s">
        <v>32</v>
      </c>
      <c r="F10" s="2" t="s">
        <v>28</v>
      </c>
      <c r="G10" s="2" t="s">
        <v>29</v>
      </c>
    </row>
    <row r="11" spans="1:7" x14ac:dyDescent="0.35">
      <c r="A11" s="2">
        <v>2000000009</v>
      </c>
      <c r="B11" s="2" t="s">
        <v>52</v>
      </c>
      <c r="C11" s="2" t="s">
        <v>34</v>
      </c>
      <c r="D11" s="2" t="s">
        <v>53</v>
      </c>
      <c r="E11" s="2" t="s">
        <v>32</v>
      </c>
      <c r="F11" s="2" t="s">
        <v>28</v>
      </c>
      <c r="G11" s="2" t="s">
        <v>29</v>
      </c>
    </row>
    <row r="12" spans="1:7" x14ac:dyDescent="0.35">
      <c r="A12" s="2">
        <v>2000000010</v>
      </c>
      <c r="B12" s="2" t="s">
        <v>54</v>
      </c>
      <c r="C12" s="2" t="s">
        <v>34</v>
      </c>
      <c r="D12" s="2" t="s">
        <v>55</v>
      </c>
      <c r="E12" s="2" t="s">
        <v>56</v>
      </c>
      <c r="F12" s="2" t="s">
        <v>28</v>
      </c>
      <c r="G12" s="2" t="s">
        <v>29</v>
      </c>
    </row>
    <row r="13" spans="1:7" x14ac:dyDescent="0.35">
      <c r="A13" s="2"/>
      <c r="B13" s="2"/>
      <c r="C13" s="2"/>
      <c r="D13" s="2"/>
      <c r="E13" s="2"/>
      <c r="F13" s="2"/>
      <c r="G13" s="2"/>
    </row>
    <row r="14" spans="1:7" x14ac:dyDescent="0.35">
      <c r="A14" s="2"/>
      <c r="B14" s="2"/>
      <c r="C14" s="2"/>
      <c r="D14" s="2"/>
      <c r="E14" s="2"/>
      <c r="F14" s="2"/>
      <c r="G14" s="2"/>
    </row>
    <row r="15" spans="1:7" x14ac:dyDescent="0.35">
      <c r="A15" s="2"/>
      <c r="B15" s="2"/>
      <c r="C15" s="2"/>
      <c r="D15" s="2"/>
      <c r="E15" s="2"/>
      <c r="F15" s="2"/>
      <c r="G15" s="2"/>
    </row>
    <row r="16" spans="1:7" x14ac:dyDescent="0.35">
      <c r="A16" s="2"/>
      <c r="B16" s="2"/>
      <c r="C16" s="2"/>
      <c r="D16" s="2"/>
      <c r="E16" s="2"/>
      <c r="F16" s="2"/>
      <c r="G16" s="2"/>
    </row>
    <row r="17" spans="1:7" x14ac:dyDescent="0.35">
      <c r="A17" s="2"/>
      <c r="B17" s="2"/>
      <c r="C17" s="2"/>
      <c r="D17" s="2"/>
      <c r="E17" s="2"/>
      <c r="F17" s="2"/>
      <c r="G17" s="2"/>
    </row>
    <row r="18" spans="1:7" x14ac:dyDescent="0.35">
      <c r="A18" s="2"/>
      <c r="B18" s="2"/>
      <c r="C18" s="2"/>
      <c r="D18" s="2"/>
      <c r="E18" s="2"/>
      <c r="F18" s="2"/>
      <c r="G18" s="2"/>
    </row>
    <row r="19" spans="1:7" x14ac:dyDescent="0.35">
      <c r="A19" s="2"/>
      <c r="B19" s="2"/>
      <c r="C19" s="2"/>
      <c r="D19" s="2"/>
      <c r="E19" s="2"/>
      <c r="F19" s="2"/>
      <c r="G19" s="2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1B1CE-DBFC-4834-9253-FB25EA37692B}">
  <dimension ref="A1:C19"/>
  <sheetViews>
    <sheetView workbookViewId="0">
      <selection activeCell="B3" sqref="B3"/>
    </sheetView>
  </sheetViews>
  <sheetFormatPr defaultRowHeight="14.5" x14ac:dyDescent="0.35"/>
  <cols>
    <col min="1" max="1" width="19.36328125" bestFit="1" customWidth="1"/>
    <col min="2" max="2" width="16.6328125" bestFit="1" customWidth="1"/>
    <col min="3" max="3" width="15" bestFit="1" customWidth="1"/>
  </cols>
  <sheetData>
    <row r="1" spans="1:3" x14ac:dyDescent="0.35">
      <c r="A1" s="7" t="s">
        <v>96</v>
      </c>
    </row>
    <row r="2" spans="1:3" x14ac:dyDescent="0.35">
      <c r="A2" s="3" t="s">
        <v>57</v>
      </c>
      <c r="B2" s="3" t="s">
        <v>58</v>
      </c>
      <c r="C2" s="3" t="s">
        <v>119</v>
      </c>
    </row>
    <row r="3" spans="1:3" x14ac:dyDescent="0.35">
      <c r="A3" s="2">
        <v>3000000001</v>
      </c>
      <c r="B3" s="2" t="s">
        <v>59</v>
      </c>
      <c r="C3" s="2">
        <v>2000000003</v>
      </c>
    </row>
    <row r="4" spans="1:3" x14ac:dyDescent="0.35">
      <c r="A4" s="2">
        <v>3000000002</v>
      </c>
      <c r="B4" s="2" t="s">
        <v>60</v>
      </c>
      <c r="C4" s="2">
        <v>2000000002</v>
      </c>
    </row>
    <row r="5" spans="1:3" x14ac:dyDescent="0.35">
      <c r="A5" s="2">
        <v>3000000003</v>
      </c>
      <c r="B5" s="2" t="s">
        <v>61</v>
      </c>
      <c r="C5" s="2">
        <v>2000000002</v>
      </c>
    </row>
    <row r="6" spans="1:3" x14ac:dyDescent="0.35">
      <c r="A6" s="2">
        <v>3000000004</v>
      </c>
      <c r="B6" s="2" t="s">
        <v>62</v>
      </c>
      <c r="C6" s="2">
        <v>2000000002</v>
      </c>
    </row>
    <row r="7" spans="1:3" x14ac:dyDescent="0.35">
      <c r="A7" s="2">
        <v>3000000005</v>
      </c>
      <c r="B7" s="2" t="s">
        <v>63</v>
      </c>
      <c r="C7" s="2">
        <v>2000000002</v>
      </c>
    </row>
    <row r="8" spans="1:3" x14ac:dyDescent="0.35">
      <c r="A8" s="2">
        <v>3000000006</v>
      </c>
      <c r="B8" s="2" t="s">
        <v>64</v>
      </c>
      <c r="C8" s="2">
        <v>2000000001</v>
      </c>
    </row>
    <row r="9" spans="1:3" x14ac:dyDescent="0.35">
      <c r="A9" s="2">
        <v>3000000007</v>
      </c>
      <c r="B9" s="2" t="s">
        <v>65</v>
      </c>
      <c r="C9" s="2">
        <v>2000000001</v>
      </c>
    </row>
    <row r="10" spans="1:3" x14ac:dyDescent="0.35">
      <c r="A10" s="2">
        <v>3000000008</v>
      </c>
      <c r="B10" s="2" t="s">
        <v>66</v>
      </c>
      <c r="C10" s="2">
        <v>2000000001</v>
      </c>
    </row>
    <row r="11" spans="1:3" x14ac:dyDescent="0.35">
      <c r="A11" s="2">
        <v>3000000009</v>
      </c>
      <c r="B11" s="2" t="s">
        <v>67</v>
      </c>
      <c r="C11" s="2">
        <v>2000000001</v>
      </c>
    </row>
    <row r="12" spans="1:3" x14ac:dyDescent="0.35">
      <c r="A12" s="2">
        <v>3000000010</v>
      </c>
      <c r="B12" s="2" t="s">
        <v>68</v>
      </c>
      <c r="C12" s="2">
        <v>2000000001</v>
      </c>
    </row>
    <row r="13" spans="1:3" x14ac:dyDescent="0.35">
      <c r="A13" s="2">
        <v>3000000011</v>
      </c>
      <c r="B13" s="2" t="s">
        <v>71</v>
      </c>
      <c r="C13" s="2">
        <v>2000000004</v>
      </c>
    </row>
    <row r="14" spans="1:3" x14ac:dyDescent="0.35">
      <c r="A14" s="2">
        <v>3000000012</v>
      </c>
      <c r="B14" s="2" t="s">
        <v>69</v>
      </c>
      <c r="C14" s="2">
        <v>2000000004</v>
      </c>
    </row>
    <row r="15" spans="1:3" x14ac:dyDescent="0.35">
      <c r="A15" s="2">
        <v>3000000013</v>
      </c>
      <c r="B15" s="2" t="s">
        <v>70</v>
      </c>
      <c r="C15" s="2">
        <v>2000000004</v>
      </c>
    </row>
    <row r="16" spans="1:3" x14ac:dyDescent="0.35">
      <c r="A16" s="2">
        <v>3000000014</v>
      </c>
      <c r="B16" s="2" t="s">
        <v>72</v>
      </c>
      <c r="C16" s="2">
        <v>2000000005</v>
      </c>
    </row>
    <row r="17" spans="1:3" x14ac:dyDescent="0.35">
      <c r="A17" s="2">
        <v>3000000015</v>
      </c>
      <c r="B17" s="2" t="s">
        <v>73</v>
      </c>
      <c r="C17" s="2">
        <v>2000000005</v>
      </c>
    </row>
    <row r="18" spans="1:3" x14ac:dyDescent="0.35">
      <c r="A18" s="2">
        <v>3000000016</v>
      </c>
      <c r="B18" s="2" t="s">
        <v>74</v>
      </c>
      <c r="C18" s="2">
        <v>2000000005</v>
      </c>
    </row>
    <row r="19" spans="1:3" x14ac:dyDescent="0.35">
      <c r="A19" s="2">
        <v>3000000017</v>
      </c>
      <c r="B19" s="2" t="s">
        <v>75</v>
      </c>
      <c r="C19" s="2">
        <v>2000000005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EAFDF-24E5-44D3-B525-DAE02E4382F9}">
  <dimension ref="A1:I25"/>
  <sheetViews>
    <sheetView workbookViewId="0">
      <selection activeCell="F6" sqref="F6"/>
    </sheetView>
  </sheetViews>
  <sheetFormatPr defaultRowHeight="14.5" x14ac:dyDescent="0.35"/>
  <cols>
    <col min="1" max="2" width="23.1796875" bestFit="1" customWidth="1"/>
    <col min="3" max="3" width="13.54296875" bestFit="1" customWidth="1"/>
    <col min="4" max="4" width="13.1796875" customWidth="1"/>
    <col min="5" max="5" width="11.453125" bestFit="1" customWidth="1"/>
    <col min="6" max="6" width="13.6328125" bestFit="1" customWidth="1"/>
    <col min="7" max="7" width="16.54296875" bestFit="1" customWidth="1"/>
    <col min="8" max="8" width="17.36328125" bestFit="1" customWidth="1"/>
  </cols>
  <sheetData>
    <row r="1" spans="1:9" x14ac:dyDescent="0.35">
      <c r="A1" s="7" t="s">
        <v>97</v>
      </c>
    </row>
    <row r="2" spans="1:9" x14ac:dyDescent="0.35">
      <c r="A2" s="3" t="s">
        <v>76</v>
      </c>
      <c r="B2" s="3" t="s">
        <v>77</v>
      </c>
      <c r="C2" s="3" t="s">
        <v>78</v>
      </c>
      <c r="D2" s="3" t="s">
        <v>107</v>
      </c>
      <c r="E2" s="3" t="s">
        <v>98</v>
      </c>
      <c r="F2" s="3" t="s">
        <v>84</v>
      </c>
      <c r="G2" s="3" t="s">
        <v>99</v>
      </c>
      <c r="H2" s="3" t="s">
        <v>100</v>
      </c>
      <c r="I2" s="3" t="s">
        <v>101</v>
      </c>
    </row>
    <row r="3" spans="1:9" x14ac:dyDescent="0.35">
      <c r="A3" s="2">
        <v>50000000001</v>
      </c>
      <c r="B3" s="2">
        <v>2000000003</v>
      </c>
      <c r="C3" s="2">
        <v>1010</v>
      </c>
      <c r="D3" s="2">
        <v>1000000005</v>
      </c>
      <c r="E3" s="8">
        <v>45108</v>
      </c>
      <c r="F3" s="2">
        <v>2000</v>
      </c>
      <c r="G3" s="2">
        <v>140</v>
      </c>
      <c r="H3" s="2">
        <v>2140</v>
      </c>
      <c r="I3" s="2" t="s">
        <v>102</v>
      </c>
    </row>
    <row r="4" spans="1:9" x14ac:dyDescent="0.35">
      <c r="A4" s="2">
        <v>50000000002</v>
      </c>
      <c r="B4" s="2">
        <v>2000000002</v>
      </c>
      <c r="C4" s="2">
        <v>1010</v>
      </c>
      <c r="D4" s="2">
        <v>1000000005</v>
      </c>
      <c r="E4" s="8">
        <v>45109</v>
      </c>
      <c r="F4" s="2">
        <v>10500</v>
      </c>
      <c r="G4" s="2">
        <v>715</v>
      </c>
      <c r="H4" s="2">
        <v>11215</v>
      </c>
      <c r="I4" s="2" t="s">
        <v>102</v>
      </c>
    </row>
    <row r="5" spans="1:9" x14ac:dyDescent="0.35">
      <c r="A5" s="2">
        <v>50000000003</v>
      </c>
      <c r="B5" s="2">
        <v>2000000001</v>
      </c>
      <c r="C5" s="2">
        <v>1020</v>
      </c>
      <c r="D5" s="2">
        <v>1000000005</v>
      </c>
      <c r="E5" s="8">
        <v>45110</v>
      </c>
      <c r="F5" s="2">
        <v>4025</v>
      </c>
      <c r="G5" s="2">
        <v>281.75</v>
      </c>
      <c r="H5" s="2">
        <v>4306.75</v>
      </c>
      <c r="I5" s="2" t="s">
        <v>102</v>
      </c>
    </row>
    <row r="6" spans="1:9" x14ac:dyDescent="0.35">
      <c r="A6" s="2">
        <v>50000000004</v>
      </c>
      <c r="B6" s="2">
        <v>2000000004</v>
      </c>
      <c r="C6" s="2">
        <v>1020</v>
      </c>
      <c r="D6" s="2">
        <v>1000000005</v>
      </c>
      <c r="E6" s="8">
        <v>45111</v>
      </c>
      <c r="F6" s="2">
        <v>12650</v>
      </c>
      <c r="G6" s="2">
        <v>885.5</v>
      </c>
      <c r="H6" s="2">
        <v>24235.5</v>
      </c>
      <c r="I6" s="2" t="s">
        <v>102</v>
      </c>
    </row>
    <row r="7" spans="1:9" x14ac:dyDescent="0.35">
      <c r="A7" s="2">
        <v>50000000005</v>
      </c>
      <c r="B7" s="2">
        <v>2000000005</v>
      </c>
      <c r="C7" s="2">
        <v>1010</v>
      </c>
      <c r="D7" s="2">
        <v>1000000005</v>
      </c>
      <c r="E7" s="8">
        <v>45112</v>
      </c>
      <c r="F7" s="2">
        <v>72000</v>
      </c>
      <c r="G7" s="2">
        <v>5040</v>
      </c>
      <c r="H7" s="2">
        <v>77040</v>
      </c>
      <c r="I7" s="2" t="s">
        <v>102</v>
      </c>
    </row>
    <row r="8" spans="1:9" x14ac:dyDescent="0.35">
      <c r="A8" s="2"/>
      <c r="B8" s="2"/>
      <c r="C8" s="2"/>
      <c r="D8" s="2"/>
      <c r="E8" s="2"/>
      <c r="F8" s="2"/>
      <c r="G8" s="2"/>
      <c r="H8" s="2"/>
      <c r="I8" s="9"/>
    </row>
    <row r="9" spans="1:9" x14ac:dyDescent="0.35">
      <c r="A9" s="2"/>
      <c r="B9" s="2"/>
      <c r="C9" s="2"/>
      <c r="D9" s="2"/>
      <c r="E9" s="2"/>
      <c r="F9" s="2"/>
      <c r="G9" s="2"/>
      <c r="H9" s="2"/>
      <c r="I9" s="9"/>
    </row>
    <row r="10" spans="1:9" x14ac:dyDescent="0.35">
      <c r="A10" s="2"/>
      <c r="B10" s="2"/>
      <c r="C10" s="2"/>
      <c r="D10" s="2"/>
      <c r="E10" s="2"/>
      <c r="F10" s="2"/>
      <c r="G10" s="2"/>
      <c r="H10" s="2"/>
      <c r="I10" s="9"/>
    </row>
    <row r="11" spans="1:9" x14ac:dyDescent="0.35">
      <c r="A11" s="2"/>
      <c r="B11" s="2"/>
      <c r="C11" s="2"/>
      <c r="D11" s="2"/>
      <c r="E11" s="2"/>
      <c r="F11" s="2"/>
      <c r="G11" s="2"/>
      <c r="H11" s="2"/>
      <c r="I11" s="9"/>
    </row>
    <row r="12" spans="1:9" x14ac:dyDescent="0.35">
      <c r="A12" s="2"/>
      <c r="B12" s="2"/>
      <c r="C12" s="2"/>
      <c r="D12" s="2"/>
      <c r="E12" s="2"/>
      <c r="F12" s="2"/>
      <c r="G12" s="2"/>
      <c r="H12" s="2"/>
      <c r="I12" s="9"/>
    </row>
    <row r="13" spans="1:9" x14ac:dyDescent="0.35">
      <c r="A13" s="2"/>
      <c r="B13" s="2"/>
      <c r="C13" s="2"/>
      <c r="D13" s="2"/>
      <c r="E13" s="2"/>
      <c r="F13" s="2"/>
      <c r="G13" s="2"/>
      <c r="H13" s="2"/>
      <c r="I13" s="9"/>
    </row>
    <row r="14" spans="1:9" x14ac:dyDescent="0.35">
      <c r="A14" s="2"/>
      <c r="B14" s="2"/>
      <c r="C14" s="2"/>
      <c r="D14" s="2"/>
      <c r="E14" s="2"/>
      <c r="F14" s="2"/>
      <c r="G14" s="2"/>
      <c r="H14" s="2"/>
      <c r="I14" s="9"/>
    </row>
    <row r="15" spans="1:9" x14ac:dyDescent="0.35">
      <c r="A15" s="2"/>
      <c r="B15" s="2"/>
      <c r="C15" s="2"/>
      <c r="D15" s="2"/>
      <c r="E15" s="2"/>
      <c r="F15" s="2"/>
      <c r="G15" s="2"/>
      <c r="H15" s="2"/>
      <c r="I15" s="9"/>
    </row>
    <row r="16" spans="1:9" x14ac:dyDescent="0.35">
      <c r="A16" s="2"/>
      <c r="B16" s="2"/>
      <c r="C16" s="2"/>
      <c r="D16" s="2"/>
      <c r="E16" s="2"/>
      <c r="F16" s="2"/>
      <c r="G16" s="2"/>
      <c r="H16" s="2"/>
      <c r="I16" s="9"/>
    </row>
    <row r="17" spans="1:9" x14ac:dyDescent="0.35">
      <c r="A17" s="2"/>
      <c r="B17" s="2"/>
      <c r="C17" s="2"/>
      <c r="D17" s="2"/>
      <c r="E17" s="2"/>
      <c r="F17" s="2"/>
      <c r="G17" s="2"/>
      <c r="H17" s="2"/>
      <c r="I17" s="9"/>
    </row>
    <row r="18" spans="1:9" x14ac:dyDescent="0.35">
      <c r="A18" s="2"/>
      <c r="B18" s="2"/>
      <c r="C18" s="2"/>
      <c r="D18" s="2"/>
      <c r="E18" s="2"/>
      <c r="F18" s="2"/>
      <c r="G18" s="2"/>
      <c r="H18" s="2"/>
      <c r="I18" s="9"/>
    </row>
    <row r="19" spans="1:9" x14ac:dyDescent="0.35">
      <c r="A19" s="2"/>
      <c r="B19" s="2"/>
      <c r="C19" s="2"/>
      <c r="D19" s="2"/>
      <c r="E19" s="2"/>
      <c r="F19" s="2"/>
      <c r="G19" s="2"/>
      <c r="H19" s="2"/>
      <c r="I19" s="9"/>
    </row>
    <row r="20" spans="1:9" x14ac:dyDescent="0.35">
      <c r="A20" s="2"/>
      <c r="B20" s="2"/>
      <c r="C20" s="2"/>
      <c r="D20" s="2"/>
      <c r="E20" s="2"/>
      <c r="F20" s="2"/>
      <c r="G20" s="2"/>
      <c r="H20" s="2"/>
      <c r="I20" s="9"/>
    </row>
    <row r="21" spans="1:9" x14ac:dyDescent="0.35">
      <c r="A21" s="2"/>
      <c r="B21" s="2"/>
      <c r="C21" s="2"/>
      <c r="D21" s="2"/>
      <c r="E21" s="2"/>
      <c r="F21" s="2"/>
      <c r="G21" s="2"/>
      <c r="H21" s="2"/>
      <c r="I21" s="9"/>
    </row>
    <row r="22" spans="1:9" x14ac:dyDescent="0.35">
      <c r="A22" s="2"/>
      <c r="B22" s="2"/>
      <c r="C22" s="2"/>
      <c r="D22" s="2"/>
      <c r="E22" s="2"/>
      <c r="F22" s="2"/>
      <c r="G22" s="2"/>
      <c r="H22" s="2"/>
      <c r="I22" s="9"/>
    </row>
    <row r="23" spans="1:9" x14ac:dyDescent="0.35">
      <c r="A23" s="2"/>
      <c r="B23" s="2"/>
      <c r="C23" s="2"/>
      <c r="D23" s="2"/>
      <c r="E23" s="2"/>
      <c r="F23" s="2"/>
      <c r="G23" s="2"/>
      <c r="H23" s="2"/>
      <c r="I23" s="9"/>
    </row>
    <row r="24" spans="1:9" x14ac:dyDescent="0.35">
      <c r="A24" s="2"/>
      <c r="B24" s="2"/>
      <c r="C24" s="2"/>
      <c r="D24" s="2"/>
      <c r="E24" s="2"/>
      <c r="F24" s="2"/>
      <c r="G24" s="2"/>
      <c r="H24" s="2"/>
      <c r="I24" s="9"/>
    </row>
    <row r="25" spans="1:9" x14ac:dyDescent="0.35">
      <c r="A25" s="2"/>
      <c r="B25" s="2"/>
      <c r="C25" s="2"/>
      <c r="D25" s="2"/>
      <c r="E25" s="2"/>
      <c r="F25" s="2"/>
      <c r="G25" s="2"/>
      <c r="H25" s="2"/>
      <c r="I25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924DC-8B54-4217-990E-1BA1116A5519}">
  <dimension ref="A1:M36"/>
  <sheetViews>
    <sheetView tabSelected="1" topLeftCell="A8" workbookViewId="0">
      <selection activeCell="D18" sqref="D18"/>
    </sheetView>
  </sheetViews>
  <sheetFormatPr defaultRowHeight="14.5" x14ac:dyDescent="0.35"/>
  <cols>
    <col min="1" max="1" width="14.81640625" bestFit="1" customWidth="1"/>
    <col min="3" max="3" width="10.54296875" bestFit="1" customWidth="1"/>
    <col min="4" max="4" width="16.54296875" bestFit="1" customWidth="1"/>
    <col min="8" max="8" width="8.1796875" bestFit="1" customWidth="1"/>
    <col min="9" max="9" width="5.36328125" customWidth="1"/>
    <col min="10" max="10" width="17.54296875" customWidth="1"/>
    <col min="12" max="12" width="15.26953125" customWidth="1"/>
    <col min="13" max="13" width="10.90625" bestFit="1" customWidth="1"/>
  </cols>
  <sheetData>
    <row r="1" spans="1:13" x14ac:dyDescent="0.35">
      <c r="A1" s="6" t="s">
        <v>109</v>
      </c>
    </row>
    <row r="2" spans="1:13" x14ac:dyDescent="0.35">
      <c r="A2" s="3" t="s">
        <v>108</v>
      </c>
      <c r="B2" s="3" t="s">
        <v>79</v>
      </c>
      <c r="C2" s="3" t="s">
        <v>80</v>
      </c>
      <c r="D2" s="3" t="s">
        <v>88</v>
      </c>
      <c r="E2" s="3" t="s">
        <v>81</v>
      </c>
      <c r="F2" s="3" t="s">
        <v>82</v>
      </c>
      <c r="G2" s="3" t="s">
        <v>83</v>
      </c>
      <c r="H2" s="3" t="s">
        <v>84</v>
      </c>
      <c r="I2" s="3" t="s">
        <v>85</v>
      </c>
      <c r="J2" s="3" t="s">
        <v>86</v>
      </c>
      <c r="K2" s="3" t="s">
        <v>101</v>
      </c>
      <c r="L2" s="3" t="s">
        <v>110</v>
      </c>
      <c r="M2" s="3" t="s">
        <v>111</v>
      </c>
    </row>
    <row r="3" spans="1:13" x14ac:dyDescent="0.35">
      <c r="A3" s="2">
        <v>50000000001</v>
      </c>
      <c r="B3" s="4" t="s">
        <v>87</v>
      </c>
      <c r="C3" s="2">
        <v>3000000001</v>
      </c>
      <c r="D3" s="2" t="s">
        <v>59</v>
      </c>
      <c r="E3" s="2">
        <v>1000</v>
      </c>
      <c r="F3" s="2" t="s">
        <v>89</v>
      </c>
      <c r="G3" s="2">
        <v>2</v>
      </c>
      <c r="H3" s="2">
        <v>2000</v>
      </c>
      <c r="I3" s="2">
        <v>140</v>
      </c>
      <c r="J3" s="2">
        <v>2140</v>
      </c>
      <c r="K3" s="2" t="s">
        <v>102</v>
      </c>
      <c r="L3" s="2">
        <v>40000000001</v>
      </c>
      <c r="M3" s="2">
        <v>1</v>
      </c>
    </row>
    <row r="4" spans="1:13" x14ac:dyDescent="0.35">
      <c r="A4" s="2">
        <v>50000000002</v>
      </c>
      <c r="B4" s="4" t="s">
        <v>87</v>
      </c>
      <c r="C4" s="2">
        <v>3000000002</v>
      </c>
      <c r="D4" s="2" t="s">
        <v>60</v>
      </c>
      <c r="E4" s="2">
        <v>1500</v>
      </c>
      <c r="F4" s="2" t="s">
        <v>93</v>
      </c>
      <c r="G4" s="2">
        <v>4</v>
      </c>
      <c r="H4" s="2">
        <v>6000</v>
      </c>
      <c r="I4" s="2">
        <v>420</v>
      </c>
      <c r="J4" s="2">
        <v>6420</v>
      </c>
      <c r="K4" s="2" t="s">
        <v>102</v>
      </c>
      <c r="L4" s="2">
        <v>40000000002</v>
      </c>
      <c r="M4" s="2" t="s">
        <v>87</v>
      </c>
    </row>
    <row r="5" spans="1:13" x14ac:dyDescent="0.35">
      <c r="A5" s="2">
        <v>50000000002</v>
      </c>
      <c r="B5" s="4" t="s">
        <v>90</v>
      </c>
      <c r="C5" s="2">
        <v>3000000003</v>
      </c>
      <c r="D5" s="2" t="s">
        <v>61</v>
      </c>
      <c r="E5" s="2">
        <v>100</v>
      </c>
      <c r="F5" s="2" t="s">
        <v>93</v>
      </c>
      <c r="G5" s="2">
        <v>10</v>
      </c>
      <c r="H5" s="2">
        <v>1000</v>
      </c>
      <c r="I5" s="2">
        <v>70</v>
      </c>
      <c r="J5" s="2">
        <v>1070</v>
      </c>
      <c r="K5" s="2" t="s">
        <v>102</v>
      </c>
      <c r="L5" s="2">
        <v>40000000002</v>
      </c>
      <c r="M5" s="2" t="s">
        <v>90</v>
      </c>
    </row>
    <row r="6" spans="1:13" x14ac:dyDescent="0.35">
      <c r="A6" s="2">
        <v>50000000002</v>
      </c>
      <c r="B6" s="4" t="s">
        <v>91</v>
      </c>
      <c r="C6" s="2">
        <v>3000000004</v>
      </c>
      <c r="D6" s="2" t="s">
        <v>62</v>
      </c>
      <c r="E6" s="2">
        <v>100</v>
      </c>
      <c r="F6" s="2" t="s">
        <v>93</v>
      </c>
      <c r="G6" s="2">
        <v>20</v>
      </c>
      <c r="H6" s="2">
        <v>2000</v>
      </c>
      <c r="I6" s="2">
        <v>140</v>
      </c>
      <c r="J6" s="2">
        <v>2140</v>
      </c>
      <c r="K6" s="2" t="s">
        <v>102</v>
      </c>
      <c r="L6" s="2">
        <v>40000000002</v>
      </c>
      <c r="M6" s="2" t="s">
        <v>91</v>
      </c>
    </row>
    <row r="7" spans="1:13" x14ac:dyDescent="0.35">
      <c r="A7" s="2">
        <v>50000000002</v>
      </c>
      <c r="B7" s="4" t="s">
        <v>92</v>
      </c>
      <c r="C7" s="2">
        <v>3000000005</v>
      </c>
      <c r="D7" s="2" t="s">
        <v>63</v>
      </c>
      <c r="E7" s="2">
        <v>100</v>
      </c>
      <c r="F7" s="2" t="s">
        <v>93</v>
      </c>
      <c r="G7" s="2">
        <v>15</v>
      </c>
      <c r="H7" s="2">
        <v>1500</v>
      </c>
      <c r="I7" s="2">
        <v>85</v>
      </c>
      <c r="J7" s="2">
        <v>1585</v>
      </c>
      <c r="K7" s="2" t="s">
        <v>102</v>
      </c>
      <c r="L7" s="2">
        <v>40000000002</v>
      </c>
      <c r="M7" s="2" t="s">
        <v>92</v>
      </c>
    </row>
    <row r="8" spans="1:13" x14ac:dyDescent="0.35">
      <c r="A8" s="2">
        <v>50000000003</v>
      </c>
      <c r="B8" s="4" t="s">
        <v>87</v>
      </c>
      <c r="C8" s="2">
        <v>3000000006</v>
      </c>
      <c r="D8" s="2" t="s">
        <v>64</v>
      </c>
      <c r="E8" s="2">
        <v>20</v>
      </c>
      <c r="F8" s="2" t="s">
        <v>93</v>
      </c>
      <c r="G8" s="2">
        <v>50</v>
      </c>
      <c r="H8" s="2">
        <v>1000</v>
      </c>
      <c r="I8" s="2">
        <f>H8*0.07</f>
        <v>70</v>
      </c>
      <c r="J8" s="2">
        <f>H8+I8</f>
        <v>1070</v>
      </c>
      <c r="K8" s="2" t="s">
        <v>102</v>
      </c>
      <c r="L8" s="2">
        <v>40000000003</v>
      </c>
      <c r="M8" s="2" t="s">
        <v>87</v>
      </c>
    </row>
    <row r="9" spans="1:13" x14ac:dyDescent="0.35">
      <c r="A9" s="2">
        <v>50000000003</v>
      </c>
      <c r="B9" s="4" t="s">
        <v>90</v>
      </c>
      <c r="C9" s="2">
        <v>3000000007</v>
      </c>
      <c r="D9" s="2" t="s">
        <v>65</v>
      </c>
      <c r="E9" s="2">
        <v>15</v>
      </c>
      <c r="F9" s="2" t="s">
        <v>93</v>
      </c>
      <c r="G9" s="2">
        <v>35</v>
      </c>
      <c r="H9" s="2">
        <f>E9*G9</f>
        <v>525</v>
      </c>
      <c r="I9" s="2">
        <f t="shared" ref="I9:I18" si="0">H9*0.07</f>
        <v>36.75</v>
      </c>
      <c r="J9" s="2">
        <f t="shared" ref="J9:J18" si="1">H9+I9</f>
        <v>561.75</v>
      </c>
      <c r="K9" s="2" t="s">
        <v>102</v>
      </c>
      <c r="L9" s="2">
        <v>40000000003</v>
      </c>
      <c r="M9" s="2" t="s">
        <v>90</v>
      </c>
    </row>
    <row r="10" spans="1:13" x14ac:dyDescent="0.35">
      <c r="A10" s="2">
        <v>50000000003</v>
      </c>
      <c r="B10" s="4" t="s">
        <v>91</v>
      </c>
      <c r="C10" s="2">
        <v>3000000008</v>
      </c>
      <c r="D10" s="2" t="s">
        <v>66</v>
      </c>
      <c r="E10" s="2">
        <v>30</v>
      </c>
      <c r="F10" s="2" t="s">
        <v>93</v>
      </c>
      <c r="G10" s="2">
        <v>50</v>
      </c>
      <c r="H10" s="2">
        <f t="shared" ref="H10:H18" si="2">E10*G10</f>
        <v>1500</v>
      </c>
      <c r="I10" s="2">
        <f t="shared" si="0"/>
        <v>105.00000000000001</v>
      </c>
      <c r="J10" s="2">
        <f t="shared" si="1"/>
        <v>1605</v>
      </c>
      <c r="K10" s="2" t="s">
        <v>102</v>
      </c>
      <c r="L10" s="2">
        <v>40000000003</v>
      </c>
      <c r="M10" s="2" t="s">
        <v>91</v>
      </c>
    </row>
    <row r="11" spans="1:13" x14ac:dyDescent="0.35">
      <c r="A11" s="2">
        <v>50000000003</v>
      </c>
      <c r="B11" s="4" t="s">
        <v>92</v>
      </c>
      <c r="C11" s="2">
        <v>3000000009</v>
      </c>
      <c r="D11" s="2" t="s">
        <v>67</v>
      </c>
      <c r="E11" s="2">
        <v>40</v>
      </c>
      <c r="F11" s="2" t="s">
        <v>93</v>
      </c>
      <c r="G11" s="2">
        <v>25</v>
      </c>
      <c r="H11" s="2">
        <f t="shared" si="2"/>
        <v>1000</v>
      </c>
      <c r="I11" s="2">
        <f t="shared" si="0"/>
        <v>70</v>
      </c>
      <c r="J11" s="2">
        <f t="shared" si="1"/>
        <v>1070</v>
      </c>
      <c r="K11" s="2" t="s">
        <v>102</v>
      </c>
      <c r="L11" s="2">
        <v>40000000003</v>
      </c>
      <c r="M11" s="2" t="s">
        <v>92</v>
      </c>
    </row>
    <row r="12" spans="1:13" x14ac:dyDescent="0.35">
      <c r="A12" s="2">
        <v>50000000004</v>
      </c>
      <c r="B12" s="4" t="s">
        <v>87</v>
      </c>
      <c r="C12" s="2">
        <v>3000000010</v>
      </c>
      <c r="D12" s="2" t="s">
        <v>71</v>
      </c>
      <c r="E12" s="2">
        <v>100</v>
      </c>
      <c r="F12" s="2" t="s">
        <v>93</v>
      </c>
      <c r="G12" s="2">
        <v>100</v>
      </c>
      <c r="H12" s="2">
        <f t="shared" si="2"/>
        <v>10000</v>
      </c>
      <c r="I12" s="2">
        <f t="shared" si="0"/>
        <v>700.00000000000011</v>
      </c>
      <c r="J12" s="2">
        <f t="shared" si="1"/>
        <v>10700</v>
      </c>
      <c r="K12" s="2" t="s">
        <v>102</v>
      </c>
      <c r="L12" s="2">
        <v>40000000004</v>
      </c>
      <c r="M12" s="2" t="s">
        <v>87</v>
      </c>
    </row>
    <row r="13" spans="1:13" x14ac:dyDescent="0.35">
      <c r="A13" s="2">
        <v>50000000004</v>
      </c>
      <c r="B13" s="4" t="s">
        <v>90</v>
      </c>
      <c r="C13" s="2">
        <v>3000000011</v>
      </c>
      <c r="D13" s="2" t="s">
        <v>69</v>
      </c>
      <c r="E13" s="2">
        <v>50</v>
      </c>
      <c r="F13" s="2" t="s">
        <v>93</v>
      </c>
      <c r="G13" s="2">
        <v>50</v>
      </c>
      <c r="H13" s="2">
        <f t="shared" si="2"/>
        <v>2500</v>
      </c>
      <c r="I13" s="2">
        <f t="shared" si="0"/>
        <v>175.00000000000003</v>
      </c>
      <c r="J13" s="2">
        <f t="shared" si="1"/>
        <v>2675</v>
      </c>
      <c r="K13" s="2" t="s">
        <v>102</v>
      </c>
      <c r="L13" s="2">
        <v>40000000004</v>
      </c>
      <c r="M13" s="2" t="s">
        <v>90</v>
      </c>
    </row>
    <row r="14" spans="1:13" x14ac:dyDescent="0.35">
      <c r="A14" s="2">
        <v>50000000004</v>
      </c>
      <c r="B14" s="4" t="s">
        <v>91</v>
      </c>
      <c r="C14" s="2">
        <v>3000000012</v>
      </c>
      <c r="D14" s="2" t="s">
        <v>70</v>
      </c>
      <c r="E14" s="2">
        <v>5</v>
      </c>
      <c r="F14" s="2" t="s">
        <v>93</v>
      </c>
      <c r="G14" s="2">
        <v>30</v>
      </c>
      <c r="H14" s="2">
        <f t="shared" si="2"/>
        <v>150</v>
      </c>
      <c r="I14" s="2">
        <f t="shared" si="0"/>
        <v>10.500000000000002</v>
      </c>
      <c r="J14" s="2">
        <f t="shared" si="1"/>
        <v>160.5</v>
      </c>
      <c r="K14" s="2" t="s">
        <v>102</v>
      </c>
      <c r="L14" s="2">
        <v>40000000004</v>
      </c>
      <c r="M14" s="2" t="s">
        <v>91</v>
      </c>
    </row>
    <row r="15" spans="1:13" x14ac:dyDescent="0.35">
      <c r="A15" s="2">
        <v>50000000005</v>
      </c>
      <c r="B15" s="4" t="s">
        <v>87</v>
      </c>
      <c r="C15" s="2">
        <v>3000000013</v>
      </c>
      <c r="D15" s="2" t="s">
        <v>72</v>
      </c>
      <c r="E15" s="2">
        <v>10</v>
      </c>
      <c r="F15" s="2" t="s">
        <v>93</v>
      </c>
      <c r="G15" s="2">
        <v>1000</v>
      </c>
      <c r="H15" s="2">
        <f t="shared" si="2"/>
        <v>10000</v>
      </c>
      <c r="I15" s="2">
        <f t="shared" si="0"/>
        <v>700.00000000000011</v>
      </c>
      <c r="J15" s="2">
        <f t="shared" si="1"/>
        <v>10700</v>
      </c>
      <c r="K15" s="2" t="s">
        <v>102</v>
      </c>
      <c r="L15" s="2">
        <v>40000000005</v>
      </c>
      <c r="M15" s="2" t="s">
        <v>87</v>
      </c>
    </row>
    <row r="16" spans="1:13" x14ac:dyDescent="0.35">
      <c r="A16" s="2">
        <v>50000000005</v>
      </c>
      <c r="B16" s="4" t="s">
        <v>90</v>
      </c>
      <c r="C16" s="2">
        <v>3000000014</v>
      </c>
      <c r="D16" s="2" t="s">
        <v>73</v>
      </c>
      <c r="E16" s="2">
        <v>50</v>
      </c>
      <c r="F16" s="2" t="s">
        <v>93</v>
      </c>
      <c r="G16" s="2">
        <v>40</v>
      </c>
      <c r="H16" s="2">
        <f t="shared" si="2"/>
        <v>2000</v>
      </c>
      <c r="I16" s="2">
        <f t="shared" si="0"/>
        <v>140</v>
      </c>
      <c r="J16" s="2">
        <f t="shared" si="1"/>
        <v>2140</v>
      </c>
      <c r="K16" s="2" t="s">
        <v>102</v>
      </c>
      <c r="L16" s="2">
        <v>40000000005</v>
      </c>
      <c r="M16" s="2" t="s">
        <v>90</v>
      </c>
    </row>
    <row r="17" spans="1:13" x14ac:dyDescent="0.35">
      <c r="A17" s="2">
        <v>50000000005</v>
      </c>
      <c r="B17" s="4" t="s">
        <v>91</v>
      </c>
      <c r="C17" s="2">
        <v>3000000015</v>
      </c>
      <c r="D17" s="2" t="s">
        <v>74</v>
      </c>
      <c r="E17" s="2">
        <v>100</v>
      </c>
      <c r="F17" s="2" t="s">
        <v>93</v>
      </c>
      <c r="G17" s="2">
        <v>500</v>
      </c>
      <c r="H17" s="2">
        <f t="shared" si="2"/>
        <v>50000</v>
      </c>
      <c r="I17" s="2">
        <f t="shared" si="0"/>
        <v>3500.0000000000005</v>
      </c>
      <c r="J17" s="2">
        <f t="shared" si="1"/>
        <v>53500</v>
      </c>
      <c r="K17" s="2" t="s">
        <v>102</v>
      </c>
      <c r="L17" s="2">
        <v>40000000005</v>
      </c>
      <c r="M17" s="2" t="s">
        <v>91</v>
      </c>
    </row>
    <row r="18" spans="1:13" x14ac:dyDescent="0.35">
      <c r="A18" s="2">
        <v>50000000005</v>
      </c>
      <c r="B18" s="4" t="s">
        <v>92</v>
      </c>
      <c r="C18" s="2">
        <v>3000000016</v>
      </c>
      <c r="D18" s="2" t="s">
        <v>75</v>
      </c>
      <c r="E18" s="2">
        <v>1000</v>
      </c>
      <c r="F18" s="2" t="s">
        <v>93</v>
      </c>
      <c r="G18" s="2">
        <v>10</v>
      </c>
      <c r="H18" s="2">
        <f t="shared" si="2"/>
        <v>10000</v>
      </c>
      <c r="I18" s="2">
        <f t="shared" si="0"/>
        <v>700.00000000000011</v>
      </c>
      <c r="J18" s="2">
        <f t="shared" si="1"/>
        <v>10700</v>
      </c>
      <c r="K18" s="2" t="s">
        <v>102</v>
      </c>
      <c r="L18" s="2">
        <v>40000000005</v>
      </c>
      <c r="M18" s="2" t="s">
        <v>92</v>
      </c>
    </row>
    <row r="19" spans="1:13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9"/>
      <c r="L19" s="9"/>
      <c r="M19" s="9"/>
    </row>
    <row r="20" spans="1:13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9"/>
      <c r="L20" s="9"/>
      <c r="M20" s="9"/>
    </row>
    <row r="21" spans="1:13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9"/>
      <c r="L21" s="9"/>
      <c r="M21" s="9"/>
    </row>
    <row r="22" spans="1:13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9"/>
      <c r="L22" s="9"/>
      <c r="M22" s="9"/>
    </row>
    <row r="23" spans="1:13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9"/>
      <c r="L23" s="9"/>
      <c r="M23" s="9"/>
    </row>
    <row r="24" spans="1:13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9"/>
      <c r="L24" s="9"/>
      <c r="M24" s="9"/>
    </row>
    <row r="25" spans="1:13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9"/>
      <c r="L25" s="9"/>
      <c r="M25" s="9"/>
    </row>
    <row r="26" spans="1:13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9"/>
      <c r="L26" s="9"/>
      <c r="M26" s="9"/>
    </row>
    <row r="27" spans="1:13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9"/>
      <c r="L27" s="9"/>
      <c r="M27" s="9"/>
    </row>
    <row r="28" spans="1:13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9"/>
      <c r="L28" s="9"/>
      <c r="M28" s="9"/>
    </row>
    <row r="29" spans="1:13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9"/>
      <c r="L29" s="9"/>
      <c r="M29" s="9"/>
    </row>
    <row r="30" spans="1:13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9"/>
      <c r="L30" s="9"/>
      <c r="M30" s="9"/>
    </row>
    <row r="31" spans="1:13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9"/>
      <c r="L31" s="9"/>
      <c r="M31" s="9"/>
    </row>
    <row r="32" spans="1:13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9"/>
      <c r="L32" s="9"/>
      <c r="M32" s="9"/>
    </row>
    <row r="33" spans="1:13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9"/>
      <c r="L33" s="9"/>
      <c r="M33" s="9"/>
    </row>
    <row r="34" spans="1:13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9"/>
      <c r="L34" s="9"/>
      <c r="M34" s="9"/>
    </row>
    <row r="35" spans="1:13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9"/>
      <c r="L35" s="9"/>
      <c r="M35" s="9"/>
    </row>
    <row r="36" spans="1:13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9"/>
      <c r="L36" s="9"/>
      <c r="M36" s="9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3AB95-3DA4-45FA-BBB6-394EDFCB6DFB}">
  <dimension ref="A1:H25"/>
  <sheetViews>
    <sheetView workbookViewId="0">
      <selection activeCell="A10" sqref="A10"/>
    </sheetView>
  </sheetViews>
  <sheetFormatPr defaultRowHeight="14.5" x14ac:dyDescent="0.35"/>
  <cols>
    <col min="1" max="2" width="23.1796875" bestFit="1" customWidth="1"/>
    <col min="3" max="3" width="13.54296875" bestFit="1" customWidth="1"/>
    <col min="4" max="4" width="11.453125" bestFit="1" customWidth="1"/>
    <col min="5" max="5" width="13.6328125" bestFit="1" customWidth="1"/>
    <col min="6" max="6" width="16.54296875" bestFit="1" customWidth="1"/>
    <col min="7" max="7" width="17.36328125" bestFit="1" customWidth="1"/>
  </cols>
  <sheetData>
    <row r="1" spans="1:8" x14ac:dyDescent="0.35">
      <c r="A1" s="7" t="s">
        <v>97</v>
      </c>
    </row>
    <row r="2" spans="1:8" x14ac:dyDescent="0.35">
      <c r="A2" s="3" t="s">
        <v>114</v>
      </c>
      <c r="B2" s="3" t="s">
        <v>77</v>
      </c>
      <c r="C2" s="3" t="s">
        <v>78</v>
      </c>
      <c r="D2" s="3" t="s">
        <v>98</v>
      </c>
      <c r="E2" s="3" t="s">
        <v>84</v>
      </c>
      <c r="F2" s="3" t="s">
        <v>99</v>
      </c>
      <c r="G2" s="3" t="s">
        <v>100</v>
      </c>
      <c r="H2" s="3" t="s">
        <v>101</v>
      </c>
    </row>
    <row r="3" spans="1:8" x14ac:dyDescent="0.35">
      <c r="A3" s="2">
        <v>40000000001</v>
      </c>
      <c r="B3" s="2">
        <v>2000000003</v>
      </c>
      <c r="C3" s="2">
        <v>1010</v>
      </c>
      <c r="D3" s="8">
        <v>45108</v>
      </c>
      <c r="E3" s="2">
        <v>2000</v>
      </c>
      <c r="F3" s="2">
        <v>140</v>
      </c>
      <c r="G3" s="2">
        <v>2140</v>
      </c>
      <c r="H3" s="2" t="s">
        <v>102</v>
      </c>
    </row>
    <row r="4" spans="1:8" x14ac:dyDescent="0.35">
      <c r="A4" s="2">
        <v>40000000002</v>
      </c>
      <c r="B4" s="2">
        <v>2000000002</v>
      </c>
      <c r="C4" s="2">
        <v>1010</v>
      </c>
      <c r="D4" s="8">
        <v>45109</v>
      </c>
      <c r="E4" s="2">
        <v>10500</v>
      </c>
      <c r="F4" s="2">
        <v>715</v>
      </c>
      <c r="G4" s="2">
        <v>11215</v>
      </c>
      <c r="H4" s="2" t="s">
        <v>102</v>
      </c>
    </row>
    <row r="5" spans="1:8" x14ac:dyDescent="0.35">
      <c r="A5" s="2">
        <v>40000000003</v>
      </c>
      <c r="B5" s="2">
        <v>2000000001</v>
      </c>
      <c r="C5" s="2">
        <v>1020</v>
      </c>
      <c r="D5" s="8">
        <v>45110</v>
      </c>
      <c r="E5" s="2">
        <v>4025</v>
      </c>
      <c r="F5" s="2">
        <v>281.75</v>
      </c>
      <c r="G5" s="2">
        <v>4306.75</v>
      </c>
      <c r="H5" s="2" t="s">
        <v>102</v>
      </c>
    </row>
    <row r="6" spans="1:8" x14ac:dyDescent="0.35">
      <c r="A6" s="2">
        <v>40000000004</v>
      </c>
      <c r="B6" s="2">
        <v>2000000004</v>
      </c>
      <c r="C6" s="2">
        <v>1020</v>
      </c>
      <c r="D6" s="8">
        <v>45111</v>
      </c>
      <c r="E6" s="2">
        <v>12650</v>
      </c>
      <c r="F6" s="2">
        <v>885.5</v>
      </c>
      <c r="G6" s="2">
        <v>24235.5</v>
      </c>
      <c r="H6" s="2" t="s">
        <v>102</v>
      </c>
    </row>
    <row r="7" spans="1:8" x14ac:dyDescent="0.35">
      <c r="A7" s="2">
        <v>40000000005</v>
      </c>
      <c r="B7" s="2">
        <v>2000000005</v>
      </c>
      <c r="C7" s="2">
        <v>1010</v>
      </c>
      <c r="D7" s="8">
        <v>45112</v>
      </c>
      <c r="E7" s="2">
        <v>72000</v>
      </c>
      <c r="F7" s="2">
        <v>5040</v>
      </c>
      <c r="G7" s="2">
        <v>77040</v>
      </c>
      <c r="H7" s="2" t="s">
        <v>102</v>
      </c>
    </row>
    <row r="8" spans="1:8" x14ac:dyDescent="0.35">
      <c r="A8" s="2"/>
      <c r="B8" s="2"/>
      <c r="C8" s="2"/>
      <c r="D8" s="2"/>
      <c r="E8" s="2"/>
      <c r="F8" s="2"/>
      <c r="G8" s="2"/>
      <c r="H8" s="9"/>
    </row>
    <row r="9" spans="1:8" x14ac:dyDescent="0.35">
      <c r="A9" s="2"/>
      <c r="B9" s="2"/>
      <c r="C9" s="2"/>
      <c r="D9" s="2"/>
      <c r="E9" s="2"/>
      <c r="F9" s="2"/>
      <c r="G9" s="2"/>
      <c r="H9" s="9"/>
    </row>
    <row r="10" spans="1:8" x14ac:dyDescent="0.35">
      <c r="A10" s="2"/>
      <c r="B10" s="2"/>
      <c r="C10" s="2"/>
      <c r="D10" s="2"/>
      <c r="E10" s="2"/>
      <c r="F10" s="2"/>
      <c r="G10" s="2"/>
      <c r="H10" s="9"/>
    </row>
    <row r="11" spans="1:8" x14ac:dyDescent="0.35">
      <c r="A11" s="2"/>
      <c r="B11" s="2"/>
      <c r="C11" s="2"/>
      <c r="D11" s="2"/>
      <c r="E11" s="2"/>
      <c r="F11" s="2"/>
      <c r="G11" s="2"/>
      <c r="H11" s="9"/>
    </row>
    <row r="12" spans="1:8" x14ac:dyDescent="0.35">
      <c r="A12" s="2"/>
      <c r="B12" s="2"/>
      <c r="C12" s="2"/>
      <c r="D12" s="2"/>
      <c r="E12" s="2"/>
      <c r="F12" s="2"/>
      <c r="G12" s="2"/>
      <c r="H12" s="9"/>
    </row>
    <row r="13" spans="1:8" x14ac:dyDescent="0.35">
      <c r="A13" s="2"/>
      <c r="B13" s="2"/>
      <c r="C13" s="2"/>
      <c r="D13" s="2"/>
      <c r="E13" s="2"/>
      <c r="F13" s="2"/>
      <c r="G13" s="2"/>
      <c r="H13" s="9"/>
    </row>
    <row r="14" spans="1:8" x14ac:dyDescent="0.35">
      <c r="A14" s="2"/>
      <c r="B14" s="2"/>
      <c r="C14" s="2"/>
      <c r="D14" s="2"/>
      <c r="E14" s="2"/>
      <c r="F14" s="2"/>
      <c r="G14" s="2"/>
      <c r="H14" s="9"/>
    </row>
    <row r="15" spans="1:8" x14ac:dyDescent="0.35">
      <c r="A15" s="2"/>
      <c r="B15" s="2"/>
      <c r="C15" s="2"/>
      <c r="D15" s="2"/>
      <c r="E15" s="2"/>
      <c r="F15" s="2"/>
      <c r="G15" s="2"/>
      <c r="H15" s="9"/>
    </row>
    <row r="16" spans="1:8" x14ac:dyDescent="0.35">
      <c r="A16" s="2"/>
      <c r="B16" s="2"/>
      <c r="C16" s="2"/>
      <c r="D16" s="2"/>
      <c r="E16" s="2"/>
      <c r="F16" s="2"/>
      <c r="G16" s="2"/>
      <c r="H16" s="9"/>
    </row>
    <row r="17" spans="1:8" x14ac:dyDescent="0.35">
      <c r="A17" s="2"/>
      <c r="B17" s="2"/>
      <c r="C17" s="2"/>
      <c r="D17" s="2"/>
      <c r="E17" s="2"/>
      <c r="F17" s="2"/>
      <c r="G17" s="2"/>
      <c r="H17" s="9"/>
    </row>
    <row r="18" spans="1:8" x14ac:dyDescent="0.35">
      <c r="A18" s="2"/>
      <c r="B18" s="2"/>
      <c r="C18" s="2"/>
      <c r="D18" s="2"/>
      <c r="E18" s="2"/>
      <c r="F18" s="2"/>
      <c r="G18" s="2"/>
      <c r="H18" s="9"/>
    </row>
    <row r="19" spans="1:8" x14ac:dyDescent="0.35">
      <c r="A19" s="2"/>
      <c r="B19" s="2"/>
      <c r="C19" s="2"/>
      <c r="D19" s="2"/>
      <c r="E19" s="2"/>
      <c r="F19" s="2"/>
      <c r="G19" s="2"/>
      <c r="H19" s="9"/>
    </row>
    <row r="20" spans="1:8" x14ac:dyDescent="0.35">
      <c r="A20" s="2"/>
      <c r="B20" s="2"/>
      <c r="C20" s="2"/>
      <c r="D20" s="2"/>
      <c r="E20" s="2"/>
      <c r="F20" s="2"/>
      <c r="G20" s="2"/>
      <c r="H20" s="9"/>
    </row>
    <row r="21" spans="1:8" x14ac:dyDescent="0.35">
      <c r="A21" s="2"/>
      <c r="B21" s="2"/>
      <c r="C21" s="2"/>
      <c r="D21" s="2"/>
      <c r="E21" s="2"/>
      <c r="F21" s="2"/>
      <c r="G21" s="2"/>
      <c r="H21" s="9"/>
    </row>
    <row r="22" spans="1:8" x14ac:dyDescent="0.35">
      <c r="A22" s="2"/>
      <c r="B22" s="2"/>
      <c r="C22" s="2"/>
      <c r="D22" s="2"/>
      <c r="E22" s="2"/>
      <c r="F22" s="2"/>
      <c r="G22" s="2"/>
      <c r="H22" s="9"/>
    </row>
    <row r="23" spans="1:8" x14ac:dyDescent="0.35">
      <c r="A23" s="2"/>
      <c r="B23" s="2"/>
      <c r="C23" s="2"/>
      <c r="D23" s="2"/>
      <c r="E23" s="2"/>
      <c r="F23" s="2"/>
      <c r="G23" s="2"/>
      <c r="H23" s="9"/>
    </row>
    <row r="24" spans="1:8" x14ac:dyDescent="0.35">
      <c r="A24" s="2"/>
      <c r="B24" s="2"/>
      <c r="C24" s="2"/>
      <c r="D24" s="2"/>
      <c r="E24" s="2"/>
      <c r="F24" s="2"/>
      <c r="G24" s="2"/>
      <c r="H24" s="9"/>
    </row>
    <row r="25" spans="1:8" x14ac:dyDescent="0.35">
      <c r="A25" s="2"/>
      <c r="B25" s="2"/>
      <c r="C25" s="2"/>
      <c r="D25" s="2"/>
      <c r="E25" s="2"/>
      <c r="F25" s="2"/>
      <c r="G25" s="2"/>
      <c r="H25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7E9CD-DCF5-4239-AB45-660FA245A569}">
  <dimension ref="A1:K36"/>
  <sheetViews>
    <sheetView workbookViewId="0">
      <selection activeCell="A5" sqref="A5"/>
    </sheetView>
  </sheetViews>
  <sheetFormatPr defaultRowHeight="14.5" x14ac:dyDescent="0.35"/>
  <cols>
    <col min="1" max="1" width="17.453125" bestFit="1" customWidth="1"/>
    <col min="3" max="3" width="10.54296875" bestFit="1" customWidth="1"/>
    <col min="4" max="4" width="16.54296875" bestFit="1" customWidth="1"/>
    <col min="8" max="8" width="8.1796875" bestFit="1" customWidth="1"/>
    <col min="9" max="9" width="5.36328125" customWidth="1"/>
    <col min="10" max="10" width="17.54296875" customWidth="1"/>
  </cols>
  <sheetData>
    <row r="1" spans="1:11" x14ac:dyDescent="0.35">
      <c r="A1" s="6" t="s">
        <v>109</v>
      </c>
    </row>
    <row r="2" spans="1:11" x14ac:dyDescent="0.35">
      <c r="A2" s="3" t="s">
        <v>113</v>
      </c>
      <c r="B2" s="3" t="s">
        <v>79</v>
      </c>
      <c r="C2" s="3" t="s">
        <v>80</v>
      </c>
      <c r="D2" s="3" t="s">
        <v>88</v>
      </c>
      <c r="E2" s="3" t="s">
        <v>81</v>
      </c>
      <c r="F2" s="3" t="s">
        <v>82</v>
      </c>
      <c r="G2" s="3" t="s">
        <v>83</v>
      </c>
      <c r="H2" s="3" t="s">
        <v>84</v>
      </c>
      <c r="I2" s="3" t="s">
        <v>85</v>
      </c>
      <c r="J2" s="3" t="s">
        <v>86</v>
      </c>
      <c r="K2" s="3" t="s">
        <v>101</v>
      </c>
    </row>
    <row r="3" spans="1:11" x14ac:dyDescent="0.35">
      <c r="A3" s="2">
        <v>40000000001</v>
      </c>
      <c r="B3" s="4" t="s">
        <v>87</v>
      </c>
      <c r="C3" s="2">
        <v>3000000001</v>
      </c>
      <c r="D3" s="2" t="s">
        <v>59</v>
      </c>
      <c r="E3" s="2">
        <v>1000</v>
      </c>
      <c r="F3" s="2" t="s">
        <v>89</v>
      </c>
      <c r="G3" s="2">
        <v>2</v>
      </c>
      <c r="H3" s="2">
        <v>2000</v>
      </c>
      <c r="I3" s="2">
        <v>140</v>
      </c>
      <c r="J3" s="2">
        <v>2140</v>
      </c>
      <c r="K3" s="2" t="s">
        <v>102</v>
      </c>
    </row>
    <row r="4" spans="1:11" x14ac:dyDescent="0.35">
      <c r="A4" s="2">
        <v>40000000002</v>
      </c>
      <c r="B4" s="4" t="s">
        <v>87</v>
      </c>
      <c r="C4" s="2">
        <v>3000000002</v>
      </c>
      <c r="D4" s="2" t="s">
        <v>60</v>
      </c>
      <c r="E4" s="2">
        <v>1500</v>
      </c>
      <c r="F4" s="2" t="s">
        <v>93</v>
      </c>
      <c r="G4" s="2">
        <v>4</v>
      </c>
      <c r="H4" s="2">
        <v>6000</v>
      </c>
      <c r="I4" s="2">
        <v>420</v>
      </c>
      <c r="J4" s="2">
        <v>6420</v>
      </c>
      <c r="K4" s="2" t="s">
        <v>102</v>
      </c>
    </row>
    <row r="5" spans="1:11" x14ac:dyDescent="0.35">
      <c r="A5" s="2">
        <v>40000000002</v>
      </c>
      <c r="B5" s="4" t="s">
        <v>90</v>
      </c>
      <c r="C5" s="2">
        <v>3000000003</v>
      </c>
      <c r="D5" s="2" t="s">
        <v>61</v>
      </c>
      <c r="E5" s="2">
        <v>100</v>
      </c>
      <c r="F5" s="2" t="s">
        <v>93</v>
      </c>
      <c r="G5" s="2">
        <v>10</v>
      </c>
      <c r="H5" s="2">
        <v>1000</v>
      </c>
      <c r="I5" s="2">
        <v>70</v>
      </c>
      <c r="J5" s="2">
        <v>1070</v>
      </c>
      <c r="K5" s="2" t="s">
        <v>102</v>
      </c>
    </row>
    <row r="6" spans="1:11" x14ac:dyDescent="0.35">
      <c r="A6" s="2">
        <v>40000000002</v>
      </c>
      <c r="B6" s="4" t="s">
        <v>91</v>
      </c>
      <c r="C6" s="2">
        <v>3000000004</v>
      </c>
      <c r="D6" s="2" t="s">
        <v>62</v>
      </c>
      <c r="E6" s="2">
        <v>100</v>
      </c>
      <c r="F6" s="2" t="s">
        <v>93</v>
      </c>
      <c r="G6" s="2">
        <v>20</v>
      </c>
      <c r="H6" s="2">
        <v>2000</v>
      </c>
      <c r="I6" s="2">
        <v>140</v>
      </c>
      <c r="J6" s="2">
        <v>2140</v>
      </c>
      <c r="K6" s="2" t="s">
        <v>102</v>
      </c>
    </row>
    <row r="7" spans="1:11" x14ac:dyDescent="0.35">
      <c r="A7" s="2">
        <v>40000000002</v>
      </c>
      <c r="B7" s="4" t="s">
        <v>92</v>
      </c>
      <c r="C7" s="2">
        <v>3000000005</v>
      </c>
      <c r="D7" s="2" t="s">
        <v>63</v>
      </c>
      <c r="E7" s="2">
        <v>100</v>
      </c>
      <c r="F7" s="2" t="s">
        <v>93</v>
      </c>
      <c r="G7" s="2">
        <v>15</v>
      </c>
      <c r="H7" s="2">
        <v>1500</v>
      </c>
      <c r="I7" s="2">
        <v>85</v>
      </c>
      <c r="J7" s="2">
        <v>1585</v>
      </c>
      <c r="K7" s="2" t="s">
        <v>102</v>
      </c>
    </row>
    <row r="8" spans="1:11" x14ac:dyDescent="0.35">
      <c r="A8" s="2">
        <v>40000000003</v>
      </c>
      <c r="B8" s="4" t="s">
        <v>87</v>
      </c>
      <c r="C8" s="2">
        <v>3000000006</v>
      </c>
      <c r="D8" s="2" t="s">
        <v>64</v>
      </c>
      <c r="E8" s="2">
        <v>20</v>
      </c>
      <c r="F8" s="2" t="s">
        <v>93</v>
      </c>
      <c r="G8" s="2">
        <v>50</v>
      </c>
      <c r="H8" s="2">
        <v>1000</v>
      </c>
      <c r="I8" s="2">
        <f>H8*0.07</f>
        <v>70</v>
      </c>
      <c r="J8" s="2">
        <f>H8+I8</f>
        <v>1070</v>
      </c>
      <c r="K8" s="2" t="s">
        <v>102</v>
      </c>
    </row>
    <row r="9" spans="1:11" x14ac:dyDescent="0.35">
      <c r="A9" s="2">
        <v>40000000003</v>
      </c>
      <c r="B9" s="4" t="s">
        <v>90</v>
      </c>
      <c r="C9" s="2">
        <v>3000000007</v>
      </c>
      <c r="D9" s="2" t="s">
        <v>65</v>
      </c>
      <c r="E9" s="2">
        <v>15</v>
      </c>
      <c r="F9" s="2" t="s">
        <v>93</v>
      </c>
      <c r="G9" s="2">
        <v>35</v>
      </c>
      <c r="H9" s="2">
        <f>E9*G9</f>
        <v>525</v>
      </c>
      <c r="I9" s="2">
        <f t="shared" ref="I9:I18" si="0">H9*0.07</f>
        <v>36.75</v>
      </c>
      <c r="J9" s="2">
        <f t="shared" ref="J9:J18" si="1">H9+I9</f>
        <v>561.75</v>
      </c>
      <c r="K9" s="2" t="s">
        <v>102</v>
      </c>
    </row>
    <row r="10" spans="1:11" x14ac:dyDescent="0.35">
      <c r="A10" s="2">
        <v>40000000003</v>
      </c>
      <c r="B10" s="4" t="s">
        <v>91</v>
      </c>
      <c r="C10" s="2">
        <v>3000000008</v>
      </c>
      <c r="D10" s="2" t="s">
        <v>66</v>
      </c>
      <c r="E10" s="2">
        <v>30</v>
      </c>
      <c r="F10" s="2" t="s">
        <v>93</v>
      </c>
      <c r="G10" s="2">
        <v>50</v>
      </c>
      <c r="H10" s="2">
        <f t="shared" ref="H10:H18" si="2">E10*G10</f>
        <v>1500</v>
      </c>
      <c r="I10" s="2">
        <f t="shared" si="0"/>
        <v>105.00000000000001</v>
      </c>
      <c r="J10" s="2">
        <f t="shared" si="1"/>
        <v>1605</v>
      </c>
      <c r="K10" s="2" t="s">
        <v>102</v>
      </c>
    </row>
    <row r="11" spans="1:11" x14ac:dyDescent="0.35">
      <c r="A11" s="2">
        <v>40000000003</v>
      </c>
      <c r="B11" s="4" t="s">
        <v>92</v>
      </c>
      <c r="C11" s="2">
        <v>3000000009</v>
      </c>
      <c r="D11" s="2" t="s">
        <v>67</v>
      </c>
      <c r="E11" s="2">
        <v>40</v>
      </c>
      <c r="F11" s="2" t="s">
        <v>93</v>
      </c>
      <c r="G11" s="2">
        <v>25</v>
      </c>
      <c r="H11" s="2">
        <f t="shared" si="2"/>
        <v>1000</v>
      </c>
      <c r="I11" s="2">
        <f t="shared" si="0"/>
        <v>70</v>
      </c>
      <c r="J11" s="2">
        <f t="shared" si="1"/>
        <v>1070</v>
      </c>
      <c r="K11" s="2" t="s">
        <v>102</v>
      </c>
    </row>
    <row r="12" spans="1:11" x14ac:dyDescent="0.35">
      <c r="A12" s="2">
        <v>40000000004</v>
      </c>
      <c r="B12" s="4" t="s">
        <v>87</v>
      </c>
      <c r="C12" s="2">
        <v>3000000010</v>
      </c>
      <c r="D12" s="2" t="s">
        <v>71</v>
      </c>
      <c r="E12" s="2">
        <v>100</v>
      </c>
      <c r="F12" s="2" t="s">
        <v>93</v>
      </c>
      <c r="G12" s="2">
        <v>100</v>
      </c>
      <c r="H12" s="2">
        <f t="shared" si="2"/>
        <v>10000</v>
      </c>
      <c r="I12" s="2">
        <f t="shared" si="0"/>
        <v>700.00000000000011</v>
      </c>
      <c r="J12" s="2">
        <f t="shared" si="1"/>
        <v>10700</v>
      </c>
      <c r="K12" s="2" t="s">
        <v>102</v>
      </c>
    </row>
    <row r="13" spans="1:11" x14ac:dyDescent="0.35">
      <c r="A13" s="2">
        <v>40000000004</v>
      </c>
      <c r="B13" s="4" t="s">
        <v>90</v>
      </c>
      <c r="C13" s="2">
        <v>3000000011</v>
      </c>
      <c r="D13" s="2" t="s">
        <v>69</v>
      </c>
      <c r="E13" s="2">
        <v>50</v>
      </c>
      <c r="F13" s="2" t="s">
        <v>93</v>
      </c>
      <c r="G13" s="2">
        <v>50</v>
      </c>
      <c r="H13" s="2">
        <f t="shared" si="2"/>
        <v>2500</v>
      </c>
      <c r="I13" s="2">
        <f t="shared" si="0"/>
        <v>175.00000000000003</v>
      </c>
      <c r="J13" s="2">
        <f t="shared" si="1"/>
        <v>2675</v>
      </c>
      <c r="K13" s="2" t="s">
        <v>102</v>
      </c>
    </row>
    <row r="14" spans="1:11" x14ac:dyDescent="0.35">
      <c r="A14" s="2">
        <v>40000000004</v>
      </c>
      <c r="B14" s="4" t="s">
        <v>91</v>
      </c>
      <c r="C14" s="2">
        <v>3000000012</v>
      </c>
      <c r="D14" s="2" t="s">
        <v>70</v>
      </c>
      <c r="E14" s="2">
        <v>5</v>
      </c>
      <c r="F14" s="2" t="s">
        <v>93</v>
      </c>
      <c r="G14" s="2">
        <v>30</v>
      </c>
      <c r="H14" s="2">
        <f t="shared" si="2"/>
        <v>150</v>
      </c>
      <c r="I14" s="2">
        <f t="shared" si="0"/>
        <v>10.500000000000002</v>
      </c>
      <c r="J14" s="2">
        <f t="shared" si="1"/>
        <v>160.5</v>
      </c>
      <c r="K14" s="2" t="s">
        <v>102</v>
      </c>
    </row>
    <row r="15" spans="1:11" x14ac:dyDescent="0.35">
      <c r="A15" s="2">
        <v>40000000005</v>
      </c>
      <c r="B15" s="4" t="s">
        <v>87</v>
      </c>
      <c r="C15" s="2">
        <v>3000000013</v>
      </c>
      <c r="D15" s="2" t="s">
        <v>72</v>
      </c>
      <c r="E15" s="2">
        <v>10</v>
      </c>
      <c r="F15" s="2" t="s">
        <v>93</v>
      </c>
      <c r="G15" s="2">
        <v>1000</v>
      </c>
      <c r="H15" s="2">
        <f t="shared" si="2"/>
        <v>10000</v>
      </c>
      <c r="I15" s="2">
        <f t="shared" si="0"/>
        <v>700.00000000000011</v>
      </c>
      <c r="J15" s="2">
        <f t="shared" si="1"/>
        <v>10700</v>
      </c>
      <c r="K15" s="2" t="s">
        <v>102</v>
      </c>
    </row>
    <row r="16" spans="1:11" x14ac:dyDescent="0.35">
      <c r="A16" s="2">
        <v>40000000005</v>
      </c>
      <c r="B16" s="4" t="s">
        <v>90</v>
      </c>
      <c r="C16" s="2">
        <v>3000000014</v>
      </c>
      <c r="D16" s="2" t="s">
        <v>73</v>
      </c>
      <c r="E16" s="2">
        <v>50</v>
      </c>
      <c r="F16" s="2" t="s">
        <v>93</v>
      </c>
      <c r="G16" s="2">
        <v>40</v>
      </c>
      <c r="H16" s="2">
        <f t="shared" si="2"/>
        <v>2000</v>
      </c>
      <c r="I16" s="2">
        <f t="shared" si="0"/>
        <v>140</v>
      </c>
      <c r="J16" s="2">
        <f t="shared" si="1"/>
        <v>2140</v>
      </c>
      <c r="K16" s="2" t="s">
        <v>102</v>
      </c>
    </row>
    <row r="17" spans="1:11" x14ac:dyDescent="0.35">
      <c r="A17" s="2">
        <v>40000000005</v>
      </c>
      <c r="B17" s="4" t="s">
        <v>91</v>
      </c>
      <c r="C17" s="2">
        <v>3000000015</v>
      </c>
      <c r="D17" s="2" t="s">
        <v>74</v>
      </c>
      <c r="E17" s="2">
        <v>100</v>
      </c>
      <c r="F17" s="2" t="s">
        <v>93</v>
      </c>
      <c r="G17" s="2">
        <v>500</v>
      </c>
      <c r="H17" s="2">
        <f t="shared" si="2"/>
        <v>50000</v>
      </c>
      <c r="I17" s="2">
        <f t="shared" si="0"/>
        <v>3500.0000000000005</v>
      </c>
      <c r="J17" s="2">
        <f t="shared" si="1"/>
        <v>53500</v>
      </c>
      <c r="K17" s="2" t="s">
        <v>102</v>
      </c>
    </row>
    <row r="18" spans="1:11" x14ac:dyDescent="0.35">
      <c r="A18" s="2">
        <v>40000000005</v>
      </c>
      <c r="B18" s="4" t="s">
        <v>92</v>
      </c>
      <c r="C18" s="2">
        <v>3000000016</v>
      </c>
      <c r="D18" s="2" t="s">
        <v>75</v>
      </c>
      <c r="E18" s="2">
        <v>1000</v>
      </c>
      <c r="F18" s="2" t="s">
        <v>93</v>
      </c>
      <c r="G18" s="2">
        <v>10</v>
      </c>
      <c r="H18" s="2">
        <f t="shared" si="2"/>
        <v>10000</v>
      </c>
      <c r="I18" s="2">
        <f t="shared" si="0"/>
        <v>700.00000000000011</v>
      </c>
      <c r="J18" s="2">
        <f t="shared" si="1"/>
        <v>10700</v>
      </c>
      <c r="K18" s="2" t="s">
        <v>102</v>
      </c>
    </row>
    <row r="19" spans="1:1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9"/>
    </row>
    <row r="20" spans="1:1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9"/>
    </row>
    <row r="21" spans="1:1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9"/>
    </row>
    <row r="22" spans="1:1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9"/>
    </row>
    <row r="23" spans="1:1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9"/>
    </row>
    <row r="24" spans="1:1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9"/>
    </row>
    <row r="25" spans="1:1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9"/>
    </row>
    <row r="26" spans="1:1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9"/>
    </row>
    <row r="27" spans="1:1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9"/>
    </row>
    <row r="28" spans="1:1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9"/>
    </row>
    <row r="29" spans="1:1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9"/>
    </row>
    <row r="30" spans="1:1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9"/>
    </row>
    <row r="31" spans="1:1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9"/>
    </row>
    <row r="32" spans="1:1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9"/>
    </row>
    <row r="33" spans="1:1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9"/>
    </row>
    <row r="34" spans="1:1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9"/>
    </row>
    <row r="35" spans="1:1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9"/>
    </row>
    <row r="36" spans="1:1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44733-D28D-490C-9A93-7D181D76E185}">
  <dimension ref="A1:D25"/>
  <sheetViews>
    <sheetView workbookViewId="0">
      <selection activeCell="E16" sqref="E16"/>
    </sheetView>
  </sheetViews>
  <sheetFormatPr defaultRowHeight="14.5" x14ac:dyDescent="0.35"/>
  <cols>
    <col min="1" max="2" width="23.1796875" bestFit="1" customWidth="1"/>
    <col min="3" max="3" width="13.54296875" bestFit="1" customWidth="1"/>
    <col min="4" max="4" width="11.453125" bestFit="1" customWidth="1"/>
  </cols>
  <sheetData>
    <row r="1" spans="1:4" x14ac:dyDescent="0.35">
      <c r="A1" s="7" t="s">
        <v>97</v>
      </c>
    </row>
    <row r="2" spans="1:4" x14ac:dyDescent="0.35">
      <c r="A2" s="3" t="s">
        <v>112</v>
      </c>
      <c r="B2" s="3" t="s">
        <v>77</v>
      </c>
      <c r="C2" s="3" t="s">
        <v>78</v>
      </c>
      <c r="D2" s="3" t="s">
        <v>98</v>
      </c>
    </row>
    <row r="3" spans="1:4" x14ac:dyDescent="0.35">
      <c r="A3" s="2">
        <v>70000000001</v>
      </c>
      <c r="B3" s="2">
        <v>2000000003</v>
      </c>
      <c r="C3" s="2">
        <v>1010</v>
      </c>
      <c r="D3" s="8">
        <v>45108</v>
      </c>
    </row>
    <row r="4" spans="1:4" x14ac:dyDescent="0.35">
      <c r="A4" s="2">
        <v>70000000002</v>
      </c>
      <c r="B4" s="2">
        <v>2000000002</v>
      </c>
      <c r="C4" s="2">
        <v>1010</v>
      </c>
      <c r="D4" s="8">
        <v>45109</v>
      </c>
    </row>
    <row r="5" spans="1:4" x14ac:dyDescent="0.35">
      <c r="A5" s="2">
        <v>70000000003</v>
      </c>
      <c r="B5" s="2">
        <v>2000000001</v>
      </c>
      <c r="C5" s="2">
        <v>1020</v>
      </c>
      <c r="D5" s="8">
        <v>45110</v>
      </c>
    </row>
    <row r="6" spans="1:4" x14ac:dyDescent="0.35">
      <c r="A6" s="2">
        <v>70000000004</v>
      </c>
      <c r="B6" s="2">
        <v>2000000004</v>
      </c>
      <c r="C6" s="2">
        <v>1020</v>
      </c>
      <c r="D6" s="8">
        <v>45111</v>
      </c>
    </row>
    <row r="7" spans="1:4" x14ac:dyDescent="0.35">
      <c r="A7" s="2">
        <v>70000000005</v>
      </c>
      <c r="B7" s="2">
        <v>2000000005</v>
      </c>
      <c r="C7" s="2">
        <v>1010</v>
      </c>
      <c r="D7" s="8">
        <v>45112</v>
      </c>
    </row>
    <row r="8" spans="1:4" x14ac:dyDescent="0.35">
      <c r="A8" s="2"/>
      <c r="B8" s="2"/>
      <c r="C8" s="2"/>
      <c r="D8" s="2"/>
    </row>
    <row r="9" spans="1:4" x14ac:dyDescent="0.35">
      <c r="A9" s="2"/>
      <c r="B9" s="2"/>
      <c r="C9" s="2"/>
      <c r="D9" s="2"/>
    </row>
    <row r="10" spans="1:4" x14ac:dyDescent="0.35">
      <c r="A10" s="2"/>
      <c r="B10" s="2"/>
      <c r="C10" s="2"/>
      <c r="D10" s="2"/>
    </row>
    <row r="11" spans="1:4" x14ac:dyDescent="0.35">
      <c r="A11" s="2"/>
      <c r="B11" s="2"/>
      <c r="C11" s="2"/>
      <c r="D11" s="2"/>
    </row>
    <row r="12" spans="1:4" x14ac:dyDescent="0.35">
      <c r="A12" s="2"/>
      <c r="B12" s="2"/>
      <c r="C12" s="2"/>
      <c r="D12" s="2"/>
    </row>
    <row r="13" spans="1:4" x14ac:dyDescent="0.35">
      <c r="A13" s="2"/>
      <c r="B13" s="2"/>
      <c r="C13" s="2"/>
      <c r="D13" s="2"/>
    </row>
    <row r="14" spans="1:4" x14ac:dyDescent="0.35">
      <c r="A14" s="2"/>
      <c r="B14" s="2"/>
      <c r="C14" s="2"/>
      <c r="D14" s="2"/>
    </row>
    <row r="15" spans="1:4" x14ac:dyDescent="0.35">
      <c r="A15" s="2"/>
      <c r="B15" s="2"/>
      <c r="C15" s="2"/>
      <c r="D15" s="2"/>
    </row>
    <row r="16" spans="1:4" x14ac:dyDescent="0.35">
      <c r="A16" s="2"/>
      <c r="B16" s="2"/>
      <c r="C16" s="2"/>
      <c r="D16" s="2"/>
    </row>
    <row r="17" spans="1:4" x14ac:dyDescent="0.35">
      <c r="A17" s="2"/>
      <c r="B17" s="2"/>
      <c r="C17" s="2"/>
      <c r="D17" s="2"/>
    </row>
    <row r="18" spans="1:4" x14ac:dyDescent="0.35">
      <c r="A18" s="2"/>
      <c r="B18" s="2"/>
      <c r="C18" s="2"/>
      <c r="D18" s="2"/>
    </row>
    <row r="19" spans="1:4" x14ac:dyDescent="0.35">
      <c r="A19" s="2"/>
      <c r="B19" s="2"/>
      <c r="C19" s="2"/>
      <c r="D19" s="2"/>
    </row>
    <row r="20" spans="1:4" x14ac:dyDescent="0.35">
      <c r="A20" s="2"/>
      <c r="B20" s="2"/>
      <c r="C20" s="2"/>
      <c r="D20" s="2"/>
    </row>
    <row r="21" spans="1:4" x14ac:dyDescent="0.35">
      <c r="A21" s="2"/>
      <c r="B21" s="2"/>
      <c r="C21" s="2"/>
      <c r="D21" s="2"/>
    </row>
    <row r="22" spans="1:4" x14ac:dyDescent="0.35">
      <c r="A22" s="2"/>
      <c r="B22" s="2"/>
      <c r="C22" s="2"/>
      <c r="D22" s="2"/>
    </row>
    <row r="23" spans="1:4" x14ac:dyDescent="0.35">
      <c r="A23" s="2"/>
      <c r="B23" s="2"/>
      <c r="C23" s="2"/>
      <c r="D23" s="2"/>
    </row>
    <row r="24" spans="1:4" x14ac:dyDescent="0.35">
      <c r="A24" s="2"/>
      <c r="B24" s="2"/>
      <c r="C24" s="2"/>
      <c r="D24" s="2"/>
    </row>
    <row r="25" spans="1:4" x14ac:dyDescent="0.35">
      <c r="A25" s="2"/>
      <c r="B25" s="2"/>
      <c r="C25" s="2"/>
      <c r="D25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0789F-56B9-484B-9F39-29AE114DA6A3}">
  <dimension ref="A1:H36"/>
  <sheetViews>
    <sheetView workbookViewId="0">
      <selection activeCell="G3" sqref="G3"/>
    </sheetView>
  </sheetViews>
  <sheetFormatPr defaultRowHeight="14.5" x14ac:dyDescent="0.35"/>
  <cols>
    <col min="1" max="1" width="14.81640625" bestFit="1" customWidth="1"/>
    <col min="3" max="3" width="10.54296875" bestFit="1" customWidth="1"/>
    <col min="4" max="4" width="16.54296875" bestFit="1" customWidth="1"/>
    <col min="7" max="7" width="15.26953125" customWidth="1"/>
    <col min="8" max="8" width="10.90625" bestFit="1" customWidth="1"/>
  </cols>
  <sheetData>
    <row r="1" spans="1:8" x14ac:dyDescent="0.35">
      <c r="A1" s="6" t="s">
        <v>109</v>
      </c>
    </row>
    <row r="2" spans="1:8" x14ac:dyDescent="0.35">
      <c r="A2" s="3" t="s">
        <v>108</v>
      </c>
      <c r="B2" s="3" t="s">
        <v>79</v>
      </c>
      <c r="C2" s="3" t="s">
        <v>80</v>
      </c>
      <c r="D2" s="3" t="s">
        <v>88</v>
      </c>
      <c r="E2" s="3" t="s">
        <v>81</v>
      </c>
      <c r="F2" s="3" t="s">
        <v>82</v>
      </c>
      <c r="G2" s="3" t="s">
        <v>110</v>
      </c>
      <c r="H2" s="3" t="s">
        <v>111</v>
      </c>
    </row>
    <row r="3" spans="1:8" x14ac:dyDescent="0.35">
      <c r="A3" s="2">
        <v>70000000001</v>
      </c>
      <c r="B3" s="4" t="s">
        <v>87</v>
      </c>
      <c r="C3" s="2">
        <v>3000000001</v>
      </c>
      <c r="D3" s="2" t="s">
        <v>59</v>
      </c>
      <c r="E3" s="2">
        <v>1000</v>
      </c>
      <c r="F3" s="2" t="s">
        <v>89</v>
      </c>
      <c r="G3" s="2">
        <v>40000000001</v>
      </c>
      <c r="H3" s="2" t="s">
        <v>87</v>
      </c>
    </row>
    <row r="4" spans="1:8" x14ac:dyDescent="0.35">
      <c r="A4" s="2">
        <v>70000000002</v>
      </c>
      <c r="B4" s="4" t="s">
        <v>87</v>
      </c>
      <c r="C4" s="2">
        <v>3000000002</v>
      </c>
      <c r="D4" s="2" t="s">
        <v>60</v>
      </c>
      <c r="E4" s="2">
        <v>1500</v>
      </c>
      <c r="F4" s="2" t="s">
        <v>93</v>
      </c>
      <c r="G4" s="2">
        <v>40000000002</v>
      </c>
      <c r="H4" s="2" t="s">
        <v>87</v>
      </c>
    </row>
    <row r="5" spans="1:8" x14ac:dyDescent="0.35">
      <c r="A5" s="2">
        <v>70000000002</v>
      </c>
      <c r="B5" s="4" t="s">
        <v>90</v>
      </c>
      <c r="C5" s="2">
        <v>3000000003</v>
      </c>
      <c r="D5" s="2" t="s">
        <v>61</v>
      </c>
      <c r="E5" s="2">
        <v>100</v>
      </c>
      <c r="F5" s="2" t="s">
        <v>93</v>
      </c>
      <c r="G5" s="2">
        <v>40000000002</v>
      </c>
      <c r="H5" s="2" t="s">
        <v>90</v>
      </c>
    </row>
    <row r="6" spans="1:8" x14ac:dyDescent="0.35">
      <c r="A6" s="2">
        <v>70000000002</v>
      </c>
      <c r="B6" s="4" t="s">
        <v>91</v>
      </c>
      <c r="C6" s="2">
        <v>3000000004</v>
      </c>
      <c r="D6" s="2" t="s">
        <v>62</v>
      </c>
      <c r="E6" s="2">
        <v>100</v>
      </c>
      <c r="F6" s="2" t="s">
        <v>93</v>
      </c>
      <c r="G6" s="2">
        <v>40000000002</v>
      </c>
      <c r="H6" s="2" t="s">
        <v>91</v>
      </c>
    </row>
    <row r="7" spans="1:8" x14ac:dyDescent="0.35">
      <c r="A7" s="2">
        <v>70000000002</v>
      </c>
      <c r="B7" s="4" t="s">
        <v>92</v>
      </c>
      <c r="C7" s="2">
        <v>3000000005</v>
      </c>
      <c r="D7" s="2" t="s">
        <v>63</v>
      </c>
      <c r="E7" s="2">
        <v>100</v>
      </c>
      <c r="F7" s="2" t="s">
        <v>93</v>
      </c>
      <c r="G7" s="2">
        <v>40000000002</v>
      </c>
      <c r="H7" s="2" t="s">
        <v>92</v>
      </c>
    </row>
    <row r="8" spans="1:8" x14ac:dyDescent="0.35">
      <c r="A8" s="2">
        <v>70000000003</v>
      </c>
      <c r="B8" s="4" t="s">
        <v>87</v>
      </c>
      <c r="C8" s="2">
        <v>3000000006</v>
      </c>
      <c r="D8" s="2" t="s">
        <v>64</v>
      </c>
      <c r="E8" s="2">
        <v>20</v>
      </c>
      <c r="F8" s="2" t="s">
        <v>93</v>
      </c>
      <c r="G8" s="2">
        <v>40000000003</v>
      </c>
      <c r="H8" s="2" t="s">
        <v>87</v>
      </c>
    </row>
    <row r="9" spans="1:8" x14ac:dyDescent="0.35">
      <c r="A9" s="2">
        <v>70000000003</v>
      </c>
      <c r="B9" s="4" t="s">
        <v>90</v>
      </c>
      <c r="C9" s="2">
        <v>3000000007</v>
      </c>
      <c r="D9" s="2" t="s">
        <v>65</v>
      </c>
      <c r="E9" s="2">
        <v>15</v>
      </c>
      <c r="F9" s="2" t="s">
        <v>93</v>
      </c>
      <c r="G9" s="2">
        <v>40000000003</v>
      </c>
      <c r="H9" s="2" t="s">
        <v>90</v>
      </c>
    </row>
    <row r="10" spans="1:8" x14ac:dyDescent="0.35">
      <c r="A10" s="2">
        <v>70000000003</v>
      </c>
      <c r="B10" s="4" t="s">
        <v>91</v>
      </c>
      <c r="C10" s="2">
        <v>3000000008</v>
      </c>
      <c r="D10" s="2" t="s">
        <v>66</v>
      </c>
      <c r="E10" s="2">
        <v>30</v>
      </c>
      <c r="F10" s="2" t="s">
        <v>93</v>
      </c>
      <c r="G10" s="2">
        <v>40000000003</v>
      </c>
      <c r="H10" s="2" t="s">
        <v>91</v>
      </c>
    </row>
    <row r="11" spans="1:8" x14ac:dyDescent="0.35">
      <c r="A11" s="2">
        <v>70000000003</v>
      </c>
      <c r="B11" s="4" t="s">
        <v>92</v>
      </c>
      <c r="C11" s="2">
        <v>3000000009</v>
      </c>
      <c r="D11" s="2" t="s">
        <v>67</v>
      </c>
      <c r="E11" s="2">
        <v>40</v>
      </c>
      <c r="F11" s="2" t="s">
        <v>93</v>
      </c>
      <c r="G11" s="2">
        <v>40000000003</v>
      </c>
      <c r="H11" s="2" t="s">
        <v>92</v>
      </c>
    </row>
    <row r="12" spans="1:8" x14ac:dyDescent="0.35">
      <c r="A12" s="2">
        <v>70000000004</v>
      </c>
      <c r="B12" s="4" t="s">
        <v>87</v>
      </c>
      <c r="C12" s="2">
        <v>3000000010</v>
      </c>
      <c r="D12" s="2" t="s">
        <v>71</v>
      </c>
      <c r="E12" s="2">
        <v>100</v>
      </c>
      <c r="F12" s="2" t="s">
        <v>93</v>
      </c>
      <c r="G12" s="2">
        <v>40000000004</v>
      </c>
      <c r="H12" s="2" t="s">
        <v>87</v>
      </c>
    </row>
    <row r="13" spans="1:8" x14ac:dyDescent="0.35">
      <c r="A13" s="2">
        <v>70000000004</v>
      </c>
      <c r="B13" s="4" t="s">
        <v>90</v>
      </c>
      <c r="C13" s="2">
        <v>3000000011</v>
      </c>
      <c r="D13" s="2" t="s">
        <v>69</v>
      </c>
      <c r="E13" s="2">
        <v>50</v>
      </c>
      <c r="F13" s="2" t="s">
        <v>93</v>
      </c>
      <c r="G13" s="2">
        <v>40000000004</v>
      </c>
      <c r="H13" s="2" t="s">
        <v>90</v>
      </c>
    </row>
    <row r="14" spans="1:8" x14ac:dyDescent="0.35">
      <c r="A14" s="2">
        <v>70000000004</v>
      </c>
      <c r="B14" s="4" t="s">
        <v>91</v>
      </c>
      <c r="C14" s="2">
        <v>3000000012</v>
      </c>
      <c r="D14" s="2" t="s">
        <v>70</v>
      </c>
      <c r="E14" s="2">
        <v>5</v>
      </c>
      <c r="F14" s="2" t="s">
        <v>93</v>
      </c>
      <c r="G14" s="2">
        <v>40000000004</v>
      </c>
      <c r="H14" s="2" t="s">
        <v>91</v>
      </c>
    </row>
    <row r="15" spans="1:8" x14ac:dyDescent="0.35">
      <c r="A15" s="2">
        <v>70000000005</v>
      </c>
      <c r="B15" s="4" t="s">
        <v>87</v>
      </c>
      <c r="C15" s="2">
        <v>3000000013</v>
      </c>
      <c r="D15" s="2" t="s">
        <v>72</v>
      </c>
      <c r="E15" s="2">
        <v>10</v>
      </c>
      <c r="F15" s="2" t="s">
        <v>93</v>
      </c>
      <c r="G15" s="2">
        <v>40000000005</v>
      </c>
      <c r="H15" s="2" t="s">
        <v>87</v>
      </c>
    </row>
    <row r="16" spans="1:8" x14ac:dyDescent="0.35">
      <c r="A16" s="2">
        <v>70000000005</v>
      </c>
      <c r="B16" s="4" t="s">
        <v>90</v>
      </c>
      <c r="C16" s="2">
        <v>3000000014</v>
      </c>
      <c r="D16" s="2" t="s">
        <v>73</v>
      </c>
      <c r="E16" s="2">
        <v>50</v>
      </c>
      <c r="F16" s="2" t="s">
        <v>93</v>
      </c>
      <c r="G16" s="2">
        <v>40000000005</v>
      </c>
      <c r="H16" s="2" t="s">
        <v>90</v>
      </c>
    </row>
    <row r="17" spans="1:8" x14ac:dyDescent="0.35">
      <c r="A17" s="2">
        <v>70000000005</v>
      </c>
      <c r="B17" s="4" t="s">
        <v>91</v>
      </c>
      <c r="C17" s="2">
        <v>3000000015</v>
      </c>
      <c r="D17" s="2" t="s">
        <v>74</v>
      </c>
      <c r="E17" s="2">
        <v>100</v>
      </c>
      <c r="F17" s="2" t="s">
        <v>93</v>
      </c>
      <c r="G17" s="2">
        <v>40000000005</v>
      </c>
      <c r="H17" s="2" t="s">
        <v>91</v>
      </c>
    </row>
    <row r="18" spans="1:8" x14ac:dyDescent="0.35">
      <c r="A18" s="2">
        <v>70000000005</v>
      </c>
      <c r="B18" s="4" t="s">
        <v>92</v>
      </c>
      <c r="C18" s="2">
        <v>3000000016</v>
      </c>
      <c r="D18" s="2" t="s">
        <v>75</v>
      </c>
      <c r="E18" s="2">
        <v>1000</v>
      </c>
      <c r="F18" s="2" t="s">
        <v>93</v>
      </c>
      <c r="G18" s="2">
        <v>40000000005</v>
      </c>
      <c r="H18" s="2" t="s">
        <v>92</v>
      </c>
    </row>
    <row r="19" spans="1:8" x14ac:dyDescent="0.35">
      <c r="A19" s="2"/>
      <c r="B19" s="2"/>
      <c r="C19" s="2"/>
      <c r="D19" s="2"/>
      <c r="E19" s="2"/>
      <c r="F19" s="2"/>
      <c r="G19" s="9"/>
      <c r="H19" s="9"/>
    </row>
    <row r="20" spans="1:8" x14ac:dyDescent="0.35">
      <c r="A20" s="2"/>
      <c r="B20" s="2"/>
      <c r="C20" s="2"/>
      <c r="D20" s="2"/>
      <c r="E20" s="2"/>
      <c r="F20" s="2"/>
      <c r="G20" s="9"/>
      <c r="H20" s="9"/>
    </row>
    <row r="21" spans="1:8" x14ac:dyDescent="0.35">
      <c r="A21" s="2"/>
      <c r="B21" s="2"/>
      <c r="C21" s="2"/>
      <c r="D21" s="2"/>
      <c r="E21" s="2"/>
      <c r="F21" s="2"/>
      <c r="G21" s="9"/>
      <c r="H21" s="9"/>
    </row>
    <row r="22" spans="1:8" x14ac:dyDescent="0.35">
      <c r="A22" s="2"/>
      <c r="B22" s="2"/>
      <c r="C22" s="2"/>
      <c r="D22" s="2"/>
      <c r="E22" s="2"/>
      <c r="F22" s="2"/>
      <c r="G22" s="9"/>
      <c r="H22" s="9"/>
    </row>
    <row r="23" spans="1:8" x14ac:dyDescent="0.35">
      <c r="A23" s="2"/>
      <c r="B23" s="2"/>
      <c r="C23" s="2"/>
      <c r="D23" s="2"/>
      <c r="E23" s="2"/>
      <c r="F23" s="2"/>
      <c r="G23" s="9"/>
      <c r="H23" s="9"/>
    </row>
    <row r="24" spans="1:8" x14ac:dyDescent="0.35">
      <c r="A24" s="2"/>
      <c r="B24" s="2"/>
      <c r="C24" s="2"/>
      <c r="D24" s="2"/>
      <c r="E24" s="2"/>
      <c r="F24" s="2"/>
      <c r="G24" s="9"/>
      <c r="H24" s="9"/>
    </row>
    <row r="25" spans="1:8" x14ac:dyDescent="0.35">
      <c r="A25" s="2"/>
      <c r="B25" s="2"/>
      <c r="C25" s="2"/>
      <c r="D25" s="2"/>
      <c r="E25" s="2"/>
      <c r="F25" s="2"/>
      <c r="G25" s="9"/>
      <c r="H25" s="9"/>
    </row>
    <row r="26" spans="1:8" x14ac:dyDescent="0.35">
      <c r="A26" s="2"/>
      <c r="B26" s="2"/>
      <c r="C26" s="2"/>
      <c r="D26" s="2"/>
      <c r="E26" s="2"/>
      <c r="F26" s="2"/>
      <c r="G26" s="9"/>
      <c r="H26" s="9"/>
    </row>
    <row r="27" spans="1:8" x14ac:dyDescent="0.35">
      <c r="A27" s="2"/>
      <c r="B27" s="2"/>
      <c r="C27" s="2"/>
      <c r="D27" s="2"/>
      <c r="E27" s="2"/>
      <c r="F27" s="2"/>
      <c r="G27" s="9"/>
      <c r="H27" s="9"/>
    </row>
    <row r="28" spans="1:8" x14ac:dyDescent="0.35">
      <c r="A28" s="2"/>
      <c r="B28" s="2"/>
      <c r="C28" s="2"/>
      <c r="D28" s="2"/>
      <c r="E28" s="2"/>
      <c r="F28" s="2"/>
      <c r="G28" s="9"/>
      <c r="H28" s="9"/>
    </row>
    <row r="29" spans="1:8" x14ac:dyDescent="0.35">
      <c r="A29" s="2"/>
      <c r="B29" s="2"/>
      <c r="C29" s="2"/>
      <c r="D29" s="2"/>
      <c r="E29" s="2"/>
      <c r="F29" s="2"/>
      <c r="G29" s="9"/>
      <c r="H29" s="9"/>
    </row>
    <row r="30" spans="1:8" x14ac:dyDescent="0.35">
      <c r="A30" s="2"/>
      <c r="B30" s="2"/>
      <c r="C30" s="2"/>
      <c r="D30" s="2"/>
      <c r="E30" s="2"/>
      <c r="F30" s="2"/>
      <c r="G30" s="9"/>
      <c r="H30" s="9"/>
    </row>
    <row r="31" spans="1:8" x14ac:dyDescent="0.35">
      <c r="A31" s="2"/>
      <c r="B31" s="2"/>
      <c r="C31" s="2"/>
      <c r="D31" s="2"/>
      <c r="E31" s="2"/>
      <c r="F31" s="2"/>
      <c r="G31" s="9"/>
      <c r="H31" s="9"/>
    </row>
    <row r="32" spans="1:8" x14ac:dyDescent="0.35">
      <c r="A32" s="2"/>
      <c r="B32" s="2"/>
      <c r="C32" s="2"/>
      <c r="D32" s="2"/>
      <c r="E32" s="2"/>
      <c r="F32" s="2"/>
      <c r="G32" s="9"/>
      <c r="H32" s="9"/>
    </row>
    <row r="33" spans="1:8" x14ac:dyDescent="0.35">
      <c r="A33" s="2"/>
      <c r="B33" s="2"/>
      <c r="C33" s="2"/>
      <c r="D33" s="2"/>
      <c r="E33" s="2"/>
      <c r="F33" s="2"/>
      <c r="G33" s="9"/>
      <c r="H33" s="9"/>
    </row>
    <row r="34" spans="1:8" x14ac:dyDescent="0.35">
      <c r="A34" s="2"/>
      <c r="B34" s="2"/>
      <c r="C34" s="2"/>
      <c r="D34" s="2"/>
      <c r="E34" s="2"/>
      <c r="F34" s="2"/>
      <c r="G34" s="9"/>
      <c r="H34" s="9"/>
    </row>
    <row r="35" spans="1:8" x14ac:dyDescent="0.35">
      <c r="A35" s="2"/>
      <c r="B35" s="2"/>
      <c r="C35" s="2"/>
      <c r="D35" s="2"/>
      <c r="E35" s="2"/>
      <c r="F35" s="2"/>
      <c r="G35" s="9"/>
      <c r="H35" s="9"/>
    </row>
    <row r="36" spans="1:8" x14ac:dyDescent="0.35">
      <c r="A36" s="2"/>
      <c r="B36" s="2"/>
      <c r="C36" s="2"/>
      <c r="D36" s="2"/>
      <c r="E36" s="2"/>
      <c r="F36" s="2"/>
      <c r="G36" s="9"/>
      <c r="H36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2A30-CC48-4781-B5A9-58EBF15408AF}">
  <dimension ref="A2:H10"/>
  <sheetViews>
    <sheetView workbookViewId="0">
      <selection activeCell="B10" sqref="B10"/>
    </sheetView>
  </sheetViews>
  <sheetFormatPr defaultRowHeight="14.5" x14ac:dyDescent="0.35"/>
  <cols>
    <col min="1" max="1" width="11.453125" bestFit="1" customWidth="1"/>
    <col min="2" max="2" width="16.7265625" bestFit="1" customWidth="1"/>
  </cols>
  <sheetData>
    <row r="2" spans="1:8" x14ac:dyDescent="0.35">
      <c r="A2" t="s">
        <v>115</v>
      </c>
      <c r="B2" t="s">
        <v>116</v>
      </c>
    </row>
    <row r="3" spans="1:8" x14ac:dyDescent="0.35">
      <c r="B3" t="s">
        <v>118</v>
      </c>
    </row>
    <row r="4" spans="1:8" x14ac:dyDescent="0.35">
      <c r="B4" t="s">
        <v>117</v>
      </c>
      <c r="H4" t="s">
        <v>126</v>
      </c>
    </row>
    <row r="5" spans="1:8" x14ac:dyDescent="0.35">
      <c r="B5" t="s">
        <v>120</v>
      </c>
      <c r="H5">
        <v>3010</v>
      </c>
    </row>
    <row r="6" spans="1:8" x14ac:dyDescent="0.35">
      <c r="H6">
        <v>2010</v>
      </c>
    </row>
    <row r="9" spans="1:8" x14ac:dyDescent="0.35">
      <c r="A9" t="s">
        <v>121</v>
      </c>
      <c r="B9" t="s">
        <v>122</v>
      </c>
      <c r="D9" t="s">
        <v>123</v>
      </c>
    </row>
    <row r="10" spans="1:8" x14ac:dyDescent="0.35">
      <c r="B10" t="s">
        <v>125</v>
      </c>
      <c r="C10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Employee Master Table</vt:lpstr>
      <vt:lpstr>Vendor Master Table</vt:lpstr>
      <vt:lpstr>Material Master Table</vt:lpstr>
      <vt:lpstr>Vendor Invoice Header</vt:lpstr>
      <vt:lpstr>Vendor Invoice Item</vt:lpstr>
      <vt:lpstr>Purchase Orders</vt:lpstr>
      <vt:lpstr>Purchase Order Items</vt:lpstr>
      <vt:lpstr>Goods Receipts</vt:lpstr>
      <vt:lpstr>GR Item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Ramana Chowdam</dc:creator>
  <cp:lastModifiedBy>Ramana Chowdam</cp:lastModifiedBy>
  <dcterms:created xsi:type="dcterms:W3CDTF">2023-07-09T14:38:16Z</dcterms:created>
  <dcterms:modified xsi:type="dcterms:W3CDTF">2023-07-18T20:10:29Z</dcterms:modified>
</cp:coreProperties>
</file>